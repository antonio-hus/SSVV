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Antonio Hus" sheetId="2" r:id="rId5"/>
    <sheet state="visible" name="Ariana Ilieș" sheetId="3" r:id="rId6"/>
    <sheet state="visible" name="Costin Joldeș" sheetId="4" r:id="rId7"/>
    <sheet state="visible" name="Ielciu Mara" sheetId="5" r:id="rId8"/>
    <sheet state="visible" name="Aris Horvat" sheetId="6" r:id="rId9"/>
    <sheet state="visible" name="Patricia Manciu" sheetId="7" r:id="rId10"/>
  </sheets>
  <definedNames/>
  <calcPr/>
</workbook>
</file>

<file path=xl/sharedStrings.xml><?xml version="1.0" encoding="utf-8"?>
<sst xmlns="http://schemas.openxmlformats.org/spreadsheetml/2006/main" count="1076" uniqueCount="463">
  <si>
    <t>Last refreshed: Thu Apr 30 2026 16:30:42 GMT+0300 (Eastern European Summer Time).</t>
  </si>
  <si>
    <t>Exploratory Testing Summary Report</t>
  </si>
  <si>
    <t>Overall Summary</t>
  </si>
  <si>
    <t>Total Sessions</t>
  </si>
  <si>
    <t>How to use:</t>
  </si>
  <si>
    <t>Total Time (hours)</t>
  </si>
  <si>
    <t>Create a new sheet</t>
  </si>
  <si>
    <t>Total Bugs</t>
  </si>
  <si>
    <t>Click SBTM Session &gt; Start Session</t>
  </si>
  <si>
    <t>When finished, click SBTM Session &gt; Finish Session. Make sure you have an entry just before clicking Finish, so that the calculations can get your last timestamp</t>
  </si>
  <si>
    <t>Time on Test (hours)</t>
  </si>
  <si>
    <t>To add your session in the summary,
- delete content of one of the tables: B20:F20 onward  (because of a bug)
- under sheet "Summary" &gt; Areas click SBTM Report &gt; Refresh Data</t>
  </si>
  <si>
    <t>Time on Setup (hours)</t>
  </si>
  <si>
    <t>Time on Bugs (hours)</t>
  </si>
  <si>
    <t>Time Off Charter (hours)</t>
  </si>
  <si>
    <t>Total Questions</t>
  </si>
  <si>
    <t>Total Next Time Ideas</t>
  </si>
  <si>
    <t>Total Bugs OffCharter</t>
  </si>
  <si>
    <t>Area</t>
  </si>
  <si>
    <t>Sessions</t>
  </si>
  <si>
    <t>Total Time
 (hours)</t>
  </si>
  <si>
    <t>Number 
of bugs</t>
  </si>
  <si>
    <t>Number 
of bugs offcharter</t>
  </si>
  <si>
    <t>All Charters:</t>
  </si>
  <si>
    <t>Reporter</t>
  </si>
  <si>
    <t>Date</t>
  </si>
  <si>
    <t>Session Time (hours)</t>
  </si>
  <si>
    <t>Bugs</t>
  </si>
  <si>
    <t>Bugs OffCharter</t>
  </si>
  <si>
    <t>Explore the Authentication and Authorization mechanisms by acting as both admin and member personas to discover vulnerabilities in role-based access control, session management, and account provisioning.</t>
  </si>
  <si>
    <t>lucian.hus@stud.ubbcluj.ro</t>
  </si>
  <si>
    <t>Explore the User Management module by attempting to create, update, and delete user profiles using unexpected or edge-case data inputs to discover data validation flaws and state inconsistencies.</t>
  </si>
  <si>
    <t>ariana.ilies@stud.ubbcluj.ro</t>
  </si>
  <si>
    <t>Explore the Exercise Management features by attempting to create, update, and delete exercises using unexpected or edge-case data inputs to discover data validation flaws and state inconsistencies.</t>
  </si>
  <si>
    <t>costin.joldes@stud.ubbcluj.ro</t>
  </si>
  <si>
    <t>Explore the Workout Session cross-functionality by attempting to create, update, and delete workout sessions using unexpected or edge-case data inputs to discover data validation flaws and state inconsistencies.</t>
  </si>
  <si>
    <t>mara.ielciu@stud.ubbcluj.ro</t>
  </si>
  <si>
    <t>Explore the Progress Report Generation for both Admin and Member views by generating reports with varying data and date ranges to discover calculation inaccuracies and layout issues.</t>
  </si>
  <si>
    <t>calin.horvat@stud.ubbcluj.ro</t>
  </si>
  <si>
    <t>Explore the recently deployed bug fixes and unresolved questions from previous sessions by re-testing the original failure scenarios to discover incomplete resolutions and unintended side-effects.</t>
  </si>
  <si>
    <t>patricia.manciu@stud.ubbcluj.ro</t>
  </si>
  <si>
    <t>Session end.Duration</t>
  </si>
  <si>
    <t>Tags (time):</t>
  </si>
  <si>
    <t>Test</t>
  </si>
  <si>
    <t>Number of bugs</t>
  </si>
  <si>
    <t>Bug</t>
  </si>
  <si>
    <t>Number of bugs offcharter</t>
  </si>
  <si>
    <t>Setup</t>
  </si>
  <si>
    <t>Time on Test (mins)</t>
  </si>
  <si>
    <t>OffCharter</t>
  </si>
  <si>
    <t>Time on Setup (mins)</t>
  </si>
  <si>
    <t>Tags (no time):</t>
  </si>
  <si>
    <t>Note</t>
  </si>
  <si>
    <t>Time on Bugs (mins)</t>
  </si>
  <si>
    <t>Question</t>
  </si>
  <si>
    <t>Time Off Charter (mins)</t>
  </si>
  <si>
    <t>NextTime</t>
  </si>
  <si>
    <t>Number of questions</t>
  </si>
  <si>
    <t>Data</t>
  </si>
  <si>
    <t>Number of ideas for next time</t>
  </si>
  <si>
    <t>Bug OffCharter</t>
  </si>
  <si>
    <t>Session Tester</t>
  </si>
  <si>
    <t>Session Charter</t>
  </si>
  <si>
    <t>Planned session time (mins)</t>
  </si>
  <si>
    <t>Environment Info</t>
  </si>
  <si>
    <t>Apple MacBook Pro, M4 Pro; MacOS Tahoe 26.3.1; Chrome Browser (Latest).</t>
  </si>
  <si>
    <t>Current Active Tag</t>
  </si>
  <si>
    <t>Time remaining (mins):</t>
  </si>
  <si>
    <t>Session start</t>
  </si>
  <si>
    <t>SESSION ENDED!</t>
  </si>
  <si>
    <t>Setting up application enviornment (docker compose up --build)</t>
  </si>
  <si>
    <t>Application is ready to use in ~40s. Fast setup, no manual input neccessary.</t>
  </si>
  <si>
    <t>The problem statement documentation states that the application provisions an administrator account on startup with the following credentials: admin@gymtrackerpro.com (email) / admin (password).</t>
  </si>
  <si>
    <t>The setup step mentioned the admin seeding script ran successfuly, good sign.</t>
  </si>
  <si>
    <t>The application first presents a simple landing page at '/' (expected, passed).</t>
  </si>
  <si>
    <t>Navigating to '/login' works as expected (both from the button and the URL) (expected, passed).</t>
  </si>
  <si>
    <t>Navigating to any of the protected routes ('/member/*', '/admin/*')  of the application forwards me back to '/' (expected, passed).</t>
  </si>
  <si>
    <t>Navigating to any non-existent route ('/test/') of the application shows a generic 404 message (expected, passed).</t>
  </si>
  <si>
    <t>Back on the '/login' page. Trying to use the admin credentials to log in (failed, unexpected).</t>
  </si>
  <si>
    <t>The admin credentials check fails with "Validation failed", "Password must be at least 8 characters".</t>
  </si>
  <si>
    <t>The documentation of Gym Member / Gym Administrator accounts state that the password must actually follow the schema: 8-64 characters, minimum one uppercase character, one number, and one special character</t>
  </si>
  <si>
    <t>The system thus behaves as expected, the bug is in the problem statement documentation and admin seed script, which initialize the password to 'admin'.</t>
  </si>
  <si>
    <t>This happens because the seed script information is not checked against the schema (expected, for being able to run before the application starts).</t>
  </si>
  <si>
    <t>The fix is simple, updating the expected password to 'Admin1234*' in both the documentation and seed script.</t>
  </si>
  <si>
    <t>The seed script is actually behaving as expected, the password needs to be updated from the .env used by the docker compose.</t>
  </si>
  <si>
    <t>Following the .env.example to set up the corresponding values.</t>
  </si>
  <si>
    <t>Docker compose teardown and rebuild (~5s due to caching, nice!).</t>
  </si>
  <si>
    <t>The test now passes, the new valid credentials can be used to log in as expected (expected, passed).</t>
  </si>
  <si>
    <t>The session is stored as a cookie, and can be inspected inside the Chrome Developer Tooling (expected, passed)</t>
  </si>
  <si>
    <t>The logout button is easily accessible in the sidebar, pressing it logs the user out and redirects to '/login' (expected, passed).</t>
  </si>
  <si>
    <t>Testing the login form with various inputs (invalid - no email, password / email, no password / invalid format email, password / email, invalid format password). The form shows either default HTML form warnings for missing inputs or "Validation Failed" errors accompanied by field level errors (expected, passed)</t>
  </si>
  <si>
    <t>Testing the login form with various inputs (valid - but no use exists with the email) shows "Invalid email or password" with no further explanation, good for combating user enumeration attacks (expected, passed).</t>
  </si>
  <si>
    <t>Testing the login form with various inputs (valid - but wrong password) shows "Invalid email or password" with no further explanation, which is again good for combating user enumeration attacks (expected, passed).</t>
  </si>
  <si>
    <t>The cookie stored inside the Chrome Developer Tooling was deleted after logout (expected, passed).</t>
  </si>
  <si>
    <t>After login as administrator with valid credentials, the application redirects me to '/admin/dashboard/' (expected, passed).</t>
  </si>
  <si>
    <t>All Gym Administrator tools are accessible from this dashboard via sidebar navigation (expected, passed).</t>
  </si>
  <si>
    <t>All Gym Administartor tools reside on pages with a route prefixed by '/admin/*' (expected, passed).</t>
  </si>
  <si>
    <t>Navigating to '/member/dashboard/' as a logged in administrator no longer results in a redirect to '/login', but a redirect to '/unauthorized' (expected, passed).</t>
  </si>
  <si>
    <t>From the unatuthorized page, I can either go back to home or to login (expected, passed).</t>
  </si>
  <si>
    <t>The cookie stored inside the Chrome Developer Tooling remains however (expected, passed).</t>
  </si>
  <si>
    <t>Thus from the URL I can also just go back to '/admin/dashboard' (expected, passed).</t>
  </si>
  <si>
    <t>The admin can create a new member by going to '/admin/members' (or via sidebar navigation) (expected, passed).</t>
  </si>
  <si>
    <t>At this page the administrator can see and manage all of the existing member (initially empty) (expected, passed).</t>
  </si>
  <si>
    <t>Pressing on the 'Add Member' button forwards me to the route '/admin/members/new', which is also accessible simply by URL (expected, passed).</t>
  </si>
  <si>
    <t>Testing the member creation form with various inputs results in either default HTML form warnings for missing inputs or "Validation failed" with one or more field level errors (expected, pased).</t>
  </si>
  <si>
    <t>Testing the member creation form with various inputs - the date of birth / membership start date inputs actually preformat the date to only valid combinations, nice UX (expected, passed).</t>
  </si>
  <si>
    <t>Testing the member creation form with various inputs - "Date of birth must be in the past" also works well, even if the input field is not a basic input but a more complex, custom date input.</t>
  </si>
  <si>
    <t>Testing the member creation form with various inputs - membership start date can take on any valid date input (expected, passed).</t>
  </si>
  <si>
    <t>This is a bit funny as you could pass a membership start date from 01.01.0001 :)</t>
  </si>
  <si>
    <t>Testing the member creation form with valid inputs suceeds (expected, passed)</t>
  </si>
  <si>
    <t>The route is still '/admin/members/new' (expected, passed).</t>
  </si>
  <si>
    <t>The Chrome DevTools do not show any calls in the Networks tab, which is awesome for security, and means the temporary password reaches my browser safely (magic of Next.js server actions :)) (expected, passed).</t>
  </si>
  <si>
    <t>The created Gym Member account has email 'antonio.hus@icloud.com' and the temporary password received by the admin is 'j5P[R5F18tQr)Vr:'</t>
  </si>
  <si>
    <t>The received temporary password contains exactly 16 characters, at least one upper letter character, one number and one special character (expected, passed).</t>
  </si>
  <si>
    <t>These especially required characters are shuffled nicely inside the password and not just placed at a fixed location, making temporary passwords harder to crack (expected, passed).</t>
  </si>
  <si>
    <t>Opening a new browser window in order for my new session not to interfere with my Gym Administrator stored cookies.</t>
  </si>
  <si>
    <t>Quick check of the same route manipulation checks as before pass (expected, passed).</t>
  </si>
  <si>
    <t>Using the above-mentioned Gym Member account credentials in the login forms creates a valid session for a Gym Member account.</t>
  </si>
  <si>
    <t>After login as member with valid credentials, the application redirects me to '/member/dashboard/' (expected, passed).</t>
  </si>
  <si>
    <t>Trying to access the administrator routes under '/admin/*' as a logged in member results in the same unauthorized flow as encountered before.</t>
  </si>
  <si>
    <t>All Gym Member tools are accessible from this dashboard via sidebar navigation (expected, passed).</t>
  </si>
  <si>
    <t>All Gym Member tools reside on pages with a route prefixed by '/member/*' (expected, passed).</t>
  </si>
  <si>
    <t>The member can acces its own profile information at '/member/profile' (expected, passed).</t>
  </si>
  <si>
    <t>All the profile information is in read-only mode (expected, passed).</t>
  </si>
  <si>
    <t>The member can modify its password via the form at '/member/profile' (expected, passed).</t>
  </si>
  <si>
    <t>Testing the password modification field with various inputs - the form presents the same verification schema as before, with "Validation Error" and field level errors presented. (expected, passed).</t>
  </si>
  <si>
    <t>Testing the password modification field with various inputs - valid input modification succeeds with the following message presented "Password updated successfully." (expected, passed).</t>
  </si>
  <si>
    <t>The user can logout and on login the old password does not work anymore, instead the new password can be used (expected, passed).</t>
  </si>
  <si>
    <t>The administartor can also view or edit account details of a Gym Member from the list presented at '/admin/members' for a selected member (expected, passed).</t>
  </si>
  <si>
    <t>The administrator can view or edit all acount details of a Gym Member except for its password (expected, passed).</t>
  </si>
  <si>
    <t>The administrator can set a member as suspended if currently active (expected, passed).</t>
  </si>
  <si>
    <t>The administrator can set a member as active if currently suspended (expected, passed).</t>
  </si>
  <si>
    <t>Upon being suspended a member is redirected to '/unauthorized' on the first page refresh (expected, passed).</t>
  </si>
  <si>
    <t>However, if the member does not referesh the page it can stay active. This is however not a problem as it renders the scope of the member basically to an unusable state, hence this can be considered as a passed test case.</t>
  </si>
  <si>
    <t>The session cookie stored inside the Chrome Developer Tooling remains (expected, passed).</t>
  </si>
  <si>
    <t>Logging in to a suspended account succeeds but the middleware immediately redirects the user to '/unauthorized' instead of '/member/dashboard' (expected, passed).</t>
  </si>
  <si>
    <t>After being unsuspended by the administrator, the member can login again and access the full Gym Member tool suite (expected, passed).</t>
  </si>
  <si>
    <t>This shall conclude the authentication &amp; authorization checks :)</t>
  </si>
  <si>
    <t>One bug was found and resolved during this session.</t>
  </si>
  <si>
    <t>Dell Inspiron 5570, Intel Core i7-8550U; Windows 10 Home 22H2; Chrome Browser (Version 147.0.7727.103)</t>
  </si>
  <si>
    <t>Application is ready to use in ~80s.</t>
  </si>
  <si>
    <t>The application initially displays a basic landing page at '/' (expected, passed).</t>
  </si>
  <si>
    <t>The documentation states that valid Gym Administrator credentials are admin@gymtrackerpro.com (email) / Admin1234* (password).</t>
  </si>
  <si>
    <t>After logging in as the Gym Administrator using valid credentials, the application redirects to '/admin/dashboard/' (expected, passed).</t>
  </si>
  <si>
    <t>All Gym Administrator tools are accessible from this dashboard through the sidebar navigation (expected, passed).</t>
  </si>
  <si>
    <t>The Gym Administrator can manage the existing member base by navigating to '/admin/members' (either directly or navigating via the sidebar) (expected, passed).</t>
  </si>
  <si>
    <t>[CRUD - LIST] The member base is initially empty (expected, passed).</t>
  </si>
  <si>
    <t>[CRUD - CREATE] The Gym Administrator can create a new member by clicking the 'Add Member' button, which redirects to '/admin/members/new' (also accessible directly via URL) (expected, passed).</t>
  </si>
  <si>
    <t>[CRUD - CREATE] Testing the member creation form with a variety of inputs - submitting the form with missing required fields triggers default HTML validation warnings (expected, passed).</t>
  </si>
  <si>
    <t>[CRUD - CREATE] Testing the member creation form with a variety of inputs - entering an invalid email format results in a "Validation failed" response with a field-level error ("Invalid email address") (expected, passed).</t>
  </si>
  <si>
    <t>[CRUD - CREATE] Testing the member creation form with a variety of inputs - entering a full name shorter than 8 characters or longer than 64 characters results in a "Validation failed" response with field-level length constraint errors (expected, passed)</t>
  </si>
  <si>
    <t>[CRUD - CREATE] Testing the member creation form with a variety of inputs - entering an incorrectly formatted phone number results in a "Validation failed" response with a field-level error ("Phone number format is incorrect") (expected, passed).</t>
  </si>
  <si>
    <t>[CRUD - CREATE] Testing the member creation form with a variety of inputs - date of birth and membership start dates cannot be entered in invalid informats because the form uses custom date input components that allow only valid date combinations.</t>
  </si>
  <si>
    <t>[CRUD - CREATE] Testing the member creation form with a variety of inputs - entering a future date of birth results in a "Validation failed" response with a field-level error ("Date of birth must be in the past") (expected, passed).</t>
  </si>
  <si>
    <t>[CRUD - CREATE] Testing the member creation form with a variety of inputs - submitting fully valid data across all fields successfully passes validation (expected, passed).</t>
  </si>
  <si>
    <t>[CRUD - CREATE] The member was created with the name 'Ariana Ilieș', email 'ariana.ilies@gmail.com', and was assigned a temporary password 'dtDPM2U}7_Ps2?R-'.</t>
  </si>
  <si>
    <t>[CRUD - LIST] The Gym Administrator can press 'Back to Members' or navigate back to the member base list at '/admin/members' where it can see the newly created user (expected, passed).</t>
  </si>
  <si>
    <t>[CRUD - LIST] The member list shows important information at the row level (email, phone, membership start date, status) (expected, passed).</t>
  </si>
  <si>
    <t>[CRUD - CREATE] Created another user with test credentials: 'Test User' (name), 'test@example.com' (email), '?j*9CQ5ULYCk58]U' (password) (expected, passed).</t>
  </si>
  <si>
    <t>[CRUD - LIST] The member list shows both members (expected, passed).</t>
  </si>
  <si>
    <t>[CRUD - LIST] Searching for 'a' matches both users name/emails (expected, passed).</t>
  </si>
  <si>
    <t>[CRUD - LIST] Searching for 'Ariana' matches only the first user (expected, passed).</t>
  </si>
  <si>
    <t>[CRUD - LIST] Searching for 'ariana' matches only the first user, as the search is case-insensitive (expected, passed).</t>
  </si>
  <si>
    <t>[CRUD - LIST] Searching for 'z' does not match any user name/email and the table shows an empty message 'No members found' (expected, passed).</t>
  </si>
  <si>
    <t>[CRUD - LIST] The search parameters can be noticed in the URL as in '/admin/members?search=z' (expected, passed).</t>
  </si>
  <si>
    <t>[CRUD - READ] The Gym Administrator can select any of the available members from the list at '/admin/members' and press the view row action button to reach a detailed view of their profile (expected, passed).</t>
  </si>
  <si>
    <t>[CRUD - READ] The detailed view can also be reached from the URL bar as in '/admin/members/[id]' (expected, passed).</t>
  </si>
  <si>
    <t>[CRUD - READ] The detailed view shows information about the member (email, phone, date of birth), membership information (start date, status), and the recent workout sessions of the user (initially empty) (expected, passed).</t>
  </si>
  <si>
    <t>[CRUD - READ] The detailed view does not show the Gym Administrator the member's password (expected, passed).</t>
  </si>
  <si>
    <t>The page displays the date of birth under a 'Contact' section, which is a misnomer.</t>
  </si>
  <si>
    <t>[CRUD - READ] The detailed view gives the Gym Administrator multiple options, including 'Back' - which goes back to the member list, 'Edit' - which enters an edit form of the user profile, 'View Report' - which allows the administrator to generate a progress report for the member, and finally 'Add Session' which allows the administrator to create a new workout session for the given member (expected, passed).</t>
  </si>
  <si>
    <t>[CRUD - UPDATE] The Gym Administrator can reach the edit form for the user profile by pressing the 'Edit' button from the detailed view screen, by pressing the 'Edit' button from the member list row actions for the selected member, or by navigating to the URL '/admin/members/[id]/edit' (expected, passed).</t>
  </si>
  <si>
    <t>[CRUD - UPDATE] The Gym Administrator can update any of the member fields presented in the above-mentioned detailed view (email, phone, date of birth, membership start date) (expected, passed).</t>
  </si>
  <si>
    <t>[CRUD - UPDATE] The Gym Administrator can update the status of the member's membership from a separate section (expected, passed).</t>
  </si>
  <si>
    <t>[CRUD - UPDATE] The membership can be suspended if currently active, or activated if currently suspended (expected, passed).</t>
  </si>
  <si>
    <t>[CRUD - UPDATE] Testing the member update form with a variety of inputs - updating member fields (email, phone, date of birth, membership start date) with invalid data results in a "Validation failed" response with field-level errors or default HTML validation warnings if for empty values (expected, passed).</t>
  </si>
  <si>
    <t>[CRUD - UPDATE] Testing the member update form with a variety of inputs - entering an invalid email format during update correctly triggers a field-level validation error ("Invalid email address") (expected, passed).</t>
  </si>
  <si>
    <t>[CRUD - UPDATE] Testing the member update form with a variety of inputs - updating the full name outside the allowed length constraints results in a "Validation failed" response with field-level length errors (expected, passed).</t>
  </si>
  <si>
    <t>[CRUD - UPDATE] Testing the member update form with a variety of inputs - entering an invalid phone number format during update triggers a field-level validation error ("Phone number format is incorrect") (expected, passed).</t>
  </si>
  <si>
    <t>[CRUD - UPDATE] Testing the member update form with a variety of inputs - setting the date of birth or membership start date to an invalid format value is impossible, as the date input components used allow only valid combinations (expected, passed).</t>
  </si>
  <si>
    <t>[CRUD - UPDATE] Testing the member update form with a variety of inputs - setting a future date of birth correctly triggers a "Validation failed" response with a field-level error ("Date of birth must be in the past") (expected, passed).</t>
  </si>
  <si>
    <t>[CRUD - UPDATE] The Gym Administrator cannot modify the password of an existing member (expected, passed).</t>
  </si>
  <si>
    <t>[CRUD - UPDATE] Testing the member update form with valid inputs across all editable fields successfully updates the member record without validation errors, showing instead a 'Member updated successfully.' message (expected, passed).</t>
  </si>
  <si>
    <t xml:space="preserve">[CRUD - UPDATE] The updated values are persisted immediately and the new values are visible across all fields, the detailed view, and the member list (expected, passed). </t>
  </si>
  <si>
    <t>[CRUD - DELETE] The Gym Administrator can permananetly delete the account of a member by pressing the 'Delete' button from the 'Danger Zone' of the member edit form. (expected, passed)</t>
  </si>
  <si>
    <t>The 'Danger Zone' is intuitively colored in red, marking its importance.</t>
  </si>
  <si>
    <t>[CRUD - DELETE] After deletion, the member is not anymore visible in the member list. (expected, passed).</t>
  </si>
  <si>
    <t>[CRUD - DELETE] After deletion, the Gym Adminstrator can no longer access the detailed view / edit form of the member by navigating to the above-mentioned URLs. These pages now present a generic 404 message, as the user no longer exists inside the database (expected, passed).</t>
  </si>
  <si>
    <t>Tearing down application enviornment (docker compose down -v).</t>
  </si>
  <si>
    <t>MSI Bravo 15 C7VF, AMD Ryzen 7 7735HS; Windows 11 Pro 25H2; Chrome Browser (Latest)</t>
  </si>
  <si>
    <t>Setup failed - Error response from daemon: failed to set up container networking: network f0c4e7db68c1a2d128be083cc3e10fc89cfbeb0012b9a3fcc10042b83ca36963 not found</t>
  </si>
  <si>
    <t>The bug above was a false alarm, the problem arised because of the personal testing environment. Fixed with: docker compose down \ docker network prune -f \ docker compose up --build</t>
  </si>
  <si>
    <t>Application is ready to use in ~60s.</t>
  </si>
  <si>
    <t>The Gym Administrator can manage the exercise catalogue by navigating to '/admin/exercises' (either directly or navigating via the sidebar) (expected, passed).</t>
  </si>
  <si>
    <t>[CRUD - LIST] The exercise catalogue is initially empty (expected, passed).</t>
  </si>
  <si>
    <t>[CRUD - CREATE] The Gym Administrator can create a new member by clicking the 'Add Exercise' button, which redirects to '/admin/exercises/new' (also accessible directly via URL) (expected, passed).</t>
  </si>
  <si>
    <t>[CRUD - CREATE] Testing the exercise creation form with a variety of inputs - submitting the form with missing required fields (name, muscle group, equipment) triggers default HTML validation warnings (expected, passed).</t>
  </si>
  <si>
    <t>[CRUD - CREATE] Testing the exercise creation form with a variety of inputs - entering a name shorter than 8 characters results in a "Validation failed" response with a field-level error ("Name must be at least 8 characters") (expected, passed).</t>
  </si>
  <si>
    <t>[CRUD - CREATE] Testing the exercise creation form with a variety of inputs - entering a name longer than 64 characters results in a "Validation failed" response with a field-level error ("Name must be at most 64 characters") (expected, passed).</t>
  </si>
  <si>
    <t>[CRUD - CREATE] Testing the exercise creation form with a variety of inputs - entering a name consisting only of whitespace characters is trimmed and treated as empty, resulting in a validation error for minimum length (expected, passed).</t>
  </si>
  <si>
    <t>[CRUD - CREATE] Testing the exercise creation form with a variety of inputs - entering special characters or numbers in the name field does not trigger validation errors.</t>
  </si>
  <si>
    <t>The above test might reveal a potential issue (no restriction on allowed characters of exercise name) - investigate if needed.</t>
  </si>
  <si>
    <t>[CRUD - CREATE] Testing the exercise creation form with a variety of inputs - entering a description longer than 1024 characters results in a "Validation failed" but no field-level error is presented (unexpected, failed).</t>
  </si>
  <si>
    <t>[CRUD - CREATE] Testing the exercise creation form with a variety of inputs - leaving the description field empty successfully passes validation since it is optional (expected, passed).</t>
  </si>
  <si>
    <t>[CRUD - CREATE] Testing the exercise creation form with a variety of inputs - entering a description consisting only of whitespace is trimmed and accepted as empty (potential edge case: confirm whether empty descriptions should be stored as null or empty string).</t>
  </si>
  <si>
    <t>[CRUD - CREATE] Testing the exercise creation form with a variety of inputs - selecting an invalid muscle group value is not possible, only valid combinations are presented to the user (expected, passed).</t>
  </si>
  <si>
    <t>[CRUD - CREATE] Testing the exercise creation form with a variety of inputs - selecting an invalid equipment value is not possible, only valid combinations are presented to the user (expected, passed).</t>
  </si>
  <si>
    <t>[CRUD - CREATE] Testing the exercise creation form with a variety of inputs - not selecting a muscle group triggers required field validation (expected, passed).</t>
  </si>
  <si>
    <t>[CRUD - CREATE] Testing the exercise creation form with a variety of inputs - not selecting equipment triggers an HTML warning (expected, passed).</t>
  </si>
  <si>
    <t>Are those HTML warnings to be expected actually or should field errors be presented instead</t>
  </si>
  <si>
    <t>[CRUD - CREATE] Testing the exercise creation form with a variety of inputs - submitting valid values for all fields (name within length bounds, valid enums, optional description) successfully passes validation (expected, passed).</t>
  </si>
  <si>
    <t>The exercise was created with the name 'Bench Press', description 'My favourite exercise', muscle group 'CHEST', equipment 'BARBELL'.</t>
  </si>
  <si>
    <t>Presenting the select values for muscle group and equipment as ALL-CAPS might not be the most user friendly option.</t>
  </si>
  <si>
    <t>[CRUD - LIST] After submission, the Gym Administrator is redirected back to '/admin/exercises' where it can see the newly created exercise (expected, passed).</t>
  </si>
  <si>
    <t>[CRUD - LIST] The exercise list shows important information at the row level (muscle group, equipment, status) (expected, passed).</t>
  </si>
  <si>
    <t>[CRUD - CREATE] Edge Case - Creating another exercise with the name of the first one fails (expected, passed).</t>
  </si>
  <si>
    <t>[CRUD - CREATE] Created another exercise for better testing, validation passed (expected, passed).</t>
  </si>
  <si>
    <t>The exercise was created with the name 'Chest Flyes', description 'Another favourite', muscle group 'CHEST', equipment 'CABLE'.</t>
  </si>
  <si>
    <t>[CRUD - LIST] The member list shows both exercises (expected, passed).</t>
  </si>
  <si>
    <t>[CRUD - LIST] Searching for 'c' matches both exercise names ("Ben'c'h Press", "'C'hest flyes") (expected, passed).</t>
  </si>
  <si>
    <t>[CRUD - LIST] Searching for 'be' matches only the first exercise ("'Be'nch Press") (expected, passed).</t>
  </si>
  <si>
    <t>[CRUD - LIST] Searching for ' c' (with spacebar in the front) does not match any of the exercises (unexpected) - the input must be trimmed of whitespaces before sending it to the backend.</t>
  </si>
  <si>
    <t>[CRUD - LIST] Searching for '%' or other database like operands does not match anything, as the character is trimmed before reaching the database (expected, passed).</t>
  </si>
  <si>
    <t>[CRUD - LIST] The search parameters can be noticed in the URL as in '/admin/exercises?search=c' (expected, passed).</t>
  </si>
  <si>
    <t>[CRUD - READ] The Gym Administrator can select any of the available exercises from the list at '/admin/exercises' and press the 'Edit' row action button to reach a detailed view / update form of the exercise (expected, passed).</t>
  </si>
  <si>
    <t>[CRUD - READ] The detailed view / form can also be reached from the URL bar as in '/admin/exercises/[id]/edit' (expected, passed).</t>
  </si>
  <si>
    <t>Actually, looking at the session of Ariana Ilieș, it can be noticed that exercises do not have a detailed read-only view like the members have. Navigating to the specified route but for exercises ('/admin/exercises/[id]') shows a 404 message).</t>
  </si>
  <si>
    <t>[CRUD - READ] The detailed view / form shows information about the exercise (name, description, muscle group, equipment) (expected, passed).</t>
  </si>
  <si>
    <t>[CRUD - READ] The detailed view gives the Gym Administrator multiple update options and a 'Back to Exercises' button - which goes back to the exercise list (expected, passed).</t>
  </si>
  <si>
    <t>[CRUD - UPDATE] The Gym Administrator can also edit form the exercise on this page (debatable if that is expected or if this is a pass).</t>
  </si>
  <si>
    <t>[CRUD - UPDATE] The Gym Administrator can update any of the exercise fields presented in the above-mentioned detailed view / form (name, description, muscle group, equipment) (expected, passed).</t>
  </si>
  <si>
    <t>[CRUD - UPDATE] The Gym Administrator can also update the status of the exercise from a separate section (expected, passed).</t>
  </si>
  <si>
    <t>[CRUD - UPDATE] The exercise can be archived if currently active, or unarchive if currently archived (expected, passed).</t>
  </si>
  <si>
    <t>[CRUD - UPDATE] Testing the exercise update form with a variety of inputs - updating exercise fields (name, description, muscle group, equipment) with invalid data results in a "Validation failed" response with field-level errors or default HTML validation warnings if for empty values exactly as seen before (expected, passed).</t>
  </si>
  <si>
    <t>Also debatable if this is expected or not.</t>
  </si>
  <si>
    <t>[CRUD - UPDATE] Testing the exercise update form with a variety of inputs - submitting the form with all fields omitted results in no changes being applied (expected behavior for partial update, passed).</t>
  </si>
  <si>
    <t>[CRUD - UPDATE] Testing the exercise update form with a variety of inputs - updating only the name field with a valid value (8–64 characters) successfully updates the record while leaving other fields unchanged (expected, passed).</t>
  </si>
  <si>
    <t>[CRUD - UPDATE] Testing the exercise update form with a variety of inputs - updating only the muscle group field with a valid enum value successfully updates the record without affecting other fields (expected, passed).</t>
  </si>
  <si>
    <t>[CRUD - UPDATE] Testing the exercise update form with a variety of inputs - updating only the equipment field with a valid enum value successfully updates the record without affecting other fields (expected, passed).</t>
  </si>
  <si>
    <t>[CRUD - UPDATE] Testing the exercise update form with a variety of inputs - updating only the description field with a valid string (less than 1024 characters) successfully updates the record (expected, passed).</t>
  </si>
  <si>
    <t>[CRUD - UPDATE] Testing the exercise update form with a variety of inputs - updating only the description field with an invalid string (more than 1024 characters) results in a "Validation failed" response but no field-level error (unexpected, failed).</t>
  </si>
  <si>
    <t>[CRUD - UPDATE] Testing the exercise update form with a variety of inputs - updating the name field with fewer than 8 characters results in a "Validation failed" response with a field-level error ("Name must be at least 8 characters") (expected, passed).</t>
  </si>
  <si>
    <t>[CRUD - UPDATE] Testing the exercise update form with a variety of inputs - updating the name field with more than 64 characters results in a "Validation failed" response with a field-level error ("Name must be at most 64 characters") (expected, passed).</t>
  </si>
  <si>
    <t>[CRUD - UPDATE] Testing the exercise update form with a variety of inputs - providing a name containing only whitespace is trimmed and results in a validation error due to minimum length constraint (expected, passed).</t>
  </si>
  <si>
    <t>[CRUD - UPDATE] Testing the exercise update form with a variety of inputs - clearing the description field (sending empty string) successfully updates the record to an empty description (expected, passed).</t>
  </si>
  <si>
    <t>[CRUD - UPDATE] Testing the exercise update form with a variety of inputs - omitting the description field entirely keeps the existing description unchanged (expected, passed).</t>
  </si>
  <si>
    <t>[CRUD - UPDATE] Testing the exercise update form with a variety of inputs - selecting an invalid muscle group value is not possible, only valid combinations are presented to the user (expected, passed).</t>
  </si>
  <si>
    <t>[CRUD - UPDATE] Testing the exercise update form with a variety of inputs - selecting an invalid equipment value is not possible, only valid combinations are presented to the user (expected, passed).</t>
  </si>
  <si>
    <t>[CRUD - UPDATE] Testing the exercise update form with a variety of inputs - submitting a fully valid partial update (any combination of valid fields) successfully updates the exercise (expected, passed).</t>
  </si>
  <si>
    <t>[CRUD - UPDATE] Edge Case - Testing the exercise update form with a variety of inputs - trying to update the name of the first exercise to that of the second exercise fails.</t>
  </si>
  <si>
    <t xml:space="preserve">[CRUD - UPDATE] The updated values are persisted immediately and the new values are visible across all fields, the detailed view / form, and the exercises list (expected, passed). </t>
  </si>
  <si>
    <t>[CRUD - DELETE] The Gym Administrator can permananetly delete an exercise by pressing the 'Delete' button from the 'Danger Zone' of the exercise edit form. (expected, passed)</t>
  </si>
  <si>
    <t>[CRUD - DELETE] After deletion, the Gym Adminstrator can no longer access the detailed view / form of the exercise by navigating to the above-mentioned URL. The page now presents a generic 404 message, as the exercose no longer exists inside the database (expected, passed).</t>
  </si>
  <si>
    <t>[CRUD - DELETE] Edge Case - trying to delete an exercise already in use by a workout session does not show an error, instead it just redirects to the exercise list</t>
  </si>
  <si>
    <t>This is not good user experience at all, especially if there are many exercises and may result in user frustration.</t>
  </si>
  <si>
    <t>We could either keep the user on the edit page to show a message or redirect to the exercises list and show a toast.</t>
  </si>
  <si>
    <t>IMPORTANT! The upcoming frontend tests should include checks for validation error and field level error presence!</t>
  </si>
  <si>
    <t>Apple MacBookPro, M3, MacOS Sequoia 15.6.1, Chrome latest</t>
  </si>
  <si>
    <t>By clicking on the workout sessions sidebar navigation entry the Gym Administrator is redirected to '/admin/workout-sessions/new' (expected, passed).</t>
  </si>
  <si>
    <t>[CRUD - CREATE] On this page, the Gym Administrator can create a new workout session, by selecting an existing member from a dropdown list, specifying a date, duration, notes and can add one or more exercises, each containing a number of sets and reps performed at a given weight (expected, passed).</t>
  </si>
  <si>
    <t>On this same page the Gym Administrator can press a 'Back' button, which redirects back to '/admin/members'. This is indeed strange.</t>
  </si>
  <si>
    <t>In order to be able to test the CRUD operations of Workout Sessions one test user was created with the following details: 'Test User' (name), 'test@example.com' (email), '?j*9CQ5ULYCk58]U' (password)</t>
  </si>
  <si>
    <t>[CRUD - CREATE] Testing the workout session creation form with a variety of inputs - all empty fields triggers a "Validation failed" message and field-level errors for each of the mandatory fields (expected, passed).</t>
  </si>
  <si>
    <t>[CRUD - CREATE] Testing the workout session creation form with a variety of inputs - all empty fields except member triggers a "Validation failed" message and field-level errors for each of the mandatory fields (expected, passed).</t>
  </si>
  <si>
    <t>[CRUD - CREATE] Testing the workout session creation form with a variety of inputs - entering an invalid date format is impossible as the custom date input component used allows choosing only valid combinations (expected, passed).</t>
  </si>
  <si>
    <t>[CRUD - CREATE] Testing the workout session creation form with a variety of inputs - entering a duration as a negative number is impossible as the value is always bounded to at least 0 (expected, passed).</t>
  </si>
  <si>
    <t>[CRUD - CREATE] Testing the workout session creation form with a variety of inputs - entering a duration greater than 180 minutes results in a "Validation failed" response with a field-level error ("Duration must be at most 180 minutes") (expected, passed).</t>
  </si>
  <si>
    <t>[CRUD - CREATE] Testing the workout session creation form with a variety of inputs - entering duration as a numeric string (e.g., "60") passes validation (expected, passed).</t>
  </si>
  <si>
    <t>[CRUD - CREATE] Testing the workout session creation form with a variety of inputs - leaving the optional notes field empty successfully passes validation (expected, passed).</t>
  </si>
  <si>
    <t>[CRUD - CREATE] Testing the workout session creation form with a variety of inputs - entering notes longer than 1024 characters results in a "Validation failed" but no field-level error (unexpected, failed).</t>
  </si>
  <si>
    <t>[CRUD - CREATE] Testing the workout session creation form with a variety of inputs - submitting fully valid session data successfully passes validation (expected, passed).</t>
  </si>
  <si>
    <t>[CRUD - CREATE] On this same page, the Gym Administrator must also specify the exercises performed for the workout session as detailed above. The form submission requires both the workout session and workout session exercises introduced to be valid (expected, passed).</t>
  </si>
  <si>
    <t>[CRUD - CREATE] Testing the workout session exercises input with a variety of inputs - not selecting the exercise from the dropdown list of exercises results in an "Invalid exercises" response with no field level error (unexpected, failed).</t>
  </si>
  <si>
    <t>It would probably be nice to also show the user which of the exercises present contains validation errors and where exactly.</t>
  </si>
  <si>
    <t>[CRUD - CREATE] Testing the workout session exercises input with a variety of inputs - entering sets greater than 6 results in an "Invalid exercises" with no field-level error (unexpected, failed).</t>
  </si>
  <si>
    <t>[CRUD - CREATE] Testing the workout session exercises input with a variety of inputs - entering sets less than 0 results in an "Invalid exercises" with no field-level error (unexpected, failed).</t>
  </si>
  <si>
    <t>[CRUD - CREATE] Testing the workout session exercises input with a variety of inputs - entering sets non-numeric results in an "Invalid exercises" with no field-level error (unexpected, failed).</t>
  </si>
  <si>
    <t>[CRUD - CREATE] Testing the workout session exercises input with a variety of inputs - entering reps greater than 30 results in an "Invalid exercises" with no field-level error (unexpected, failed).</t>
  </si>
  <si>
    <t>[CRUD - CREATE] Testing the workout session exercises input with a variety of inputs - entering reps less than 0 results in an "Invalid exercises" with no field-level error (unexpected, failed).</t>
  </si>
  <si>
    <t>[CRUD - CREATE] Testing the workout session exercises input with a variety of inputs - entering reps non-numeric results in an "Invalid exercises" with no field-level error (unexpected, failed).</t>
  </si>
  <si>
    <t>[CRUD - CREATE] Testing the workout session exercises input with a variety of inputs - entering weight greater than 500 results in an "Invalid exercises" with no field-level error (unexpected, failed).</t>
  </si>
  <si>
    <t>[CRUD - CREATE] Testing the workout session exercises input with a variety of inputs - entering weight less than 0 results in an "Invalid exercises" with no field-level error (unexpected, failed).</t>
  </si>
  <si>
    <t>[CRUD - CREATE] Testing the workout session exercises input with a variety of inputs - entering weight non-numeric results in an "Invalid exercises" with no field-level error (unexpected, failed).</t>
  </si>
  <si>
    <t>[CRUD - CREATE] The Gym Administrator can add or remove more exercises as needed for the workout session using the "Add Exercise" button and the "Remove" button associated to each entry (expected, passed).</t>
  </si>
  <si>
    <t>[CRUD - CREATE] Every workout session exercise must be valid in order to be able to submit the form. Contrary, the "Invalid Exercises" error message will be shown. (expected, passed).</t>
  </si>
  <si>
    <t>[CRUD - CREATE] There is no way to remain with less than one exercises performed in workout session as the remove button is disabled when just one entry is presented (expected, passed).</t>
  </si>
  <si>
    <t>[CRUD - CREATE] Testing the workout session exercises input with a variety of inputs - submitting fully valid exercise entries successfully passes validation (expected, passed).</t>
  </si>
  <si>
    <t>[CRUD - CREATE] After creating the workout session, the administrator is redirected to the member details page of the member choosen in the member creation form (expected, passed).</t>
  </si>
  <si>
    <t>[CRUD - CREATE] The workout session was created for the member "Test User", date "2026-04-29", note "Test" and one exercise "Bench Press" with sets "3", reps "10" and weight "0" (expected, passed).</t>
  </si>
  <si>
    <t>[CRUD - CREATE] One more workout session was created for the member "Test User", date "2026-04-30", note "" and one exercise "Chest Flyes" with sets "3", reps "12" and weight "20" (expected, passed).</t>
  </si>
  <si>
    <t>As an important remark the above CREATE feature is a cross-entity operation combining all of the entities of the application: Member, Administrator, Exercise, Workout Session, Workout Session Exercise.</t>
  </si>
  <si>
    <t>[CRUD - LIST] From the member details page the Gym Administrator can see a list of the most recent workout sessions of the member (expected, passed).</t>
  </si>
  <si>
    <t>[CRUD - UPDATE] From the list of the most recent workout sessions the Administrator can press "Edit" for a selected workout session in order to enter a detailed view / form of the workout session (expected, passed).</t>
  </si>
  <si>
    <t>[CRUD - UPDATE] After pressing the above-mentioned "Edit" buttont the Administrator is redirected to the "/admin/workout-sessions/[workout-session-id]/edit" page, presenting a form identical to the one used for creating a new workout session (expected, passed).</t>
  </si>
  <si>
    <t>[CRUD - UPDATE] On this page the user also has the option "Back to Member" which redirects back to the user profile whose workout session the Gym Administrator is trying to modify (expected, passed).</t>
  </si>
  <si>
    <t>[CRUD - UPDATE] The values of the workout session and workout session exercises are prepopulated inside the form (expected, passed).</t>
  </si>
  <si>
    <t>[CRUD - UPDATE] Testing the workout session update form with a variety of inputs - submitting an empty form successfully passes validation because all fields are optional (expected, passed).</t>
  </si>
  <si>
    <t>[CRUD - UPDATE] Testing the workout session update form with a variety of inputs - entering an invalid date format is impossible as the custom date input component used allows choosing only valid combinations (expected, passed).</t>
  </si>
  <si>
    <t>[CRUD - UPDATE] Testing the workout session update form with a variety of inputs - entering a duration as a negative number is impossible as the value is always bounded to at least 0 (expected, passed).</t>
  </si>
  <si>
    <t>[CRUD - UPDATE] Testing the workout session update form with a variety of inputs - entering a duration as a non-numeric character shows NaN, which on sumbit leads to "Validation failed" and field-level error "Invalid input: expected number, received NaN" (expected, passed).</t>
  </si>
  <si>
    <t>[CRUD - UPDATE] The same bug regarding description field valid errors is also present in the workout session update form (unexpected, failed).</t>
  </si>
  <si>
    <t>[CRUD - UPDATE] The same bugs regarding workout session exercises field valid errors are also present in the workout session update form (unexpected, failed).</t>
  </si>
  <si>
    <t>[CRUD - UPDATE] Testing the workout session exercise update input with a variety of inputs - including an id with valid exercise data successfully passes validation for updating existing entries (expected, passed).</t>
  </si>
  <si>
    <t>[CRUD - UPDATE] After a successful update, the Gym Administrator sees the message "Session updated successfully." (expected, passed).</t>
  </si>
  <si>
    <t>As an important remark the above UPDATE feature is a cross-entity operation combining all of the entities of the application: Member, Administrator, Exercise, Workout Session, Workout Session Exercise.</t>
  </si>
  <si>
    <t>[CRUD - READ] The workout session details can be viewed as part of the edit form, including workout session date, duration, notes and all the performed exercises, accompanied by the number of sets, reps and weight.</t>
  </si>
  <si>
    <t>[CRUD - DELETE] On this same edit form page, the Gym Administrator can press "Delete Session" in order to delete the exercise. The button is integrated inside a "Danger Zone" section, which contains red text, significant to its destructive nature (expected, passed).</t>
  </si>
  <si>
    <t>[CRUD - DELETE] After pressing "Delete Session" the Gym Administrator is redirected to the details page of the member whose workout session was deleted (expected, passed).</t>
  </si>
  <si>
    <t>[CRUD - DELETE] The workout session is not anymore present in the recent workout sessions list (expected, passed).</t>
  </si>
  <si>
    <t>We could maybe implement a safety check popup before actually deleting the workout session entry.</t>
  </si>
  <si>
    <t>In order to verify the Member view of Workout Sessions, the "Test User" account credentials are used.</t>
  </si>
  <si>
    <t>First I log out of the administrator account and then log in as "Test User".</t>
  </si>
  <si>
    <t>After logging in as the Gym Member using valid credentials, the application redirects to '/member/dashboard/' (expected, passed).</t>
  </si>
  <si>
    <t>[CRUD - LIST] On this page the Gym Member can see a list of the most recent workout session associated to itself (expected, passed).</t>
  </si>
  <si>
    <t>[CRUD - LIST] The Gym Member can press the button "View All" above this list, navigate from sidebar to "My Workout Sessions" or simply navigate to "/member/workout-sessions" to view a paginated list of all of the workout sessions associated to itself (expected, passed).</t>
  </si>
  <si>
    <t>[CRUD - LIST] The workout session lists also display important information about the workout session at the row level, including duration, number of exercises performed, and notes.</t>
  </si>
  <si>
    <t>[CRUD - LIST] From both the list inside the dashboard and this list, the member can press the "View" button in order to reach a detailed view of the workout session at "/member/workout-sessions/[workout-session-id]" (expected, passed).</t>
  </si>
  <si>
    <t>[CRUD - READ] The workout session details can be viewed in read-only mode by the Gym Member, including all of the information related to the workout session and workout session exercises in a nice format (expected, passed).</t>
  </si>
  <si>
    <t>[CRUD - READ] The above-mentioned details page includes information about the date, duration, notes, number of exercises, total volume (sets*reps*weight), and a list of the workout session exercises performed with row level informations about the number of sets, reps and weight, plus the volume per exercise (sets*reps*rows) (expected, passed).</t>
  </si>
  <si>
    <t>The happy flow of both the Gym Administrator and Gym Members works just as expected. However the bugs pointed out shall be fixed in order to guarantee the best user experience even when errors arise.</t>
  </si>
  <si>
    <t>ASUS VivoBook X403FA, Intel Core i7-8565U; Windows 11 Home 24H2; Chrome Browser (Version 147.0.7727.117)</t>
  </si>
  <si>
    <t>Application is ready to use in ~70s.</t>
  </si>
  <si>
    <t>The progress report requires several workout sessions available for a member in order to display relevant results.</t>
  </si>
  <si>
    <t>A member was created with email "andrei.ionescu@gmail.com", full name "Andrei Ionescu", phone "+40721100001", date of birth "1992-03-14" and membership start "2025-01-10".</t>
  </si>
  <si>
    <t>An exercise was created with name "Barbell Bench Press", muscle group "CHEST" and equipment "BARBELL".</t>
  </si>
  <si>
    <t>An exercise was created with name "Cable Chest Fly", muscle group "CHEST" and equipment "CABLE".</t>
  </si>
  <si>
    <t>An exercise was created with name "Dumbbell Shoulder Press", muscle group "SHOULDERS" and equipment "DUMBBELL".</t>
  </si>
  <si>
    <t>An exercise was created with name "Dumbbell Lateral Raise", muscle group "SHOULDERS" and equipment "DUMBBELL".</t>
  </si>
  <si>
    <t>An exercise was created with name "Barbell Bicep Curl", muscle group "ARMS" and equipment "BARBELL".</t>
  </si>
  <si>
    <t>An exercise was created with name "Cable Tricep Pushdown", muscle group "ARMS" and equipment "CABLE".</t>
  </si>
  <si>
    <t>An exercise was created with name "Lat Pulldown", muscle group "BACK" and equipment "MACHINE".</t>
  </si>
  <si>
    <t>An exercise was created with name "Seated Cable Row", muscle group "BACK" and equipment "CABLE".</t>
  </si>
  <si>
    <t>An exercise was created with name "Romanian Deadlift", muscle group "LEGS" and equipment "BARBELL".</t>
  </si>
  <si>
    <t>An exercise was created with name "Leg Press", muscle group "LEGS" and equipment "MACHINE".</t>
  </si>
  <si>
    <t>An exercise was created with name "Cable Crunch", muscle group "CORE" and equipment "CABLE".</t>
  </si>
  <si>
    <t>An exercise was created with name "Dumbbell Russian Twist", muscle group "CORE" and equipment "DUMBBELL".</t>
  </si>
  <si>
    <t>A workout session was created for the member "Andrei Ionescu", date "2025-01-24", note "Focused on chest and shoulders. Felt strong today." and exercises:</t>
  </si>
  <si>
    <t>A workout session was created for the member "Andrei Ionescu", date "2025-01-24", note "Focused on chest and shoulders. Felt strong today." with exercises "Barbell Bench Press" (sets "4", reps "8", weight "80"), "Cable Chest Fly" (sets "3", reps "12", weight "15"), "Dumbbell Shoulder Press" (sets "3", reps "10", weight "24"), "Dumbbell Lateral Raise" (sets "3", reps "15", weight "10").</t>
  </si>
  <si>
    <t>A workout session was created for the member "Andrei Ionescu", date "2025-02-07", note "Back and biceps session. Added weight on lat pulldown." with exercises "Lat Pulldown" (sets "4", reps "10", weight "65"), "Seated Cable Row" (sets "4", reps "12", weight "50"), "Barbell Bicep Curl" (sets "3", reps "10", weight "40").</t>
  </si>
  <si>
    <t>A workout session was created for the member "Andrei Ionescu", date "2025-02-21", note "Heavy leg session. ROM felt good throughout." with exercises "Leg Press" (sets "4", reps "12", weight "120"), "Romanian Deadlift" (sets "3", reps "10", weight "70").</t>
  </si>
  <si>
    <t>A workout session was created for the member "Andrei Ionescu", date "2025-03-07", note "Isolation work for arms and core stability." with exercises "Barbell Bicep Curl" (sets "4", reps "12", weight "35"), "Cable Tricep Pushdown" (sets "4", reps "15", weight "30"), "Cable Crunch" (sets "3", reps "15", weight "25"), "Dumbbell Russian Twist" (sets "3", reps "20", weight "8").</t>
  </si>
  <si>
    <t>A workout session was created for the member "Andrei Ionescu", date "2025-03-21", note "Volume day — kept weights moderate and reps high." with exercises "Barbell Bench Press" (sets "3", reps "12", weight "70"), "Cable Chest Fly" (sets "4", reps "15", weight "12"), "Dumbbell Shoulder Press" (sets "4", reps "12", weight "20").</t>
  </si>
  <si>
    <t>A workout session was created for the member "Andrei Ionescu", date "2025-04-04", note "Focused on mind-muscle connection in the back." with exercises "Seated Cable Row" (sets "3", reps "15", weight "45"), "Lat Pulldown" (sets "3", reps "12", weight "60"), "Barbell Bicep Curl" (sets "3", reps "12", weight "35").</t>
  </si>
  <si>
    <t>A workout session was created for the member "Andrei Ionescu", date "2025-04-18", note "Higher reps today for hypertrophy. Quads were on fire." with exercises "Leg Press" (sets "5", reps "15", weight "100"), "Romanian Deadlift" (sets "4", reps "12", weight "60").</t>
  </si>
  <si>
    <t>A workout session was created for the member "Andrei Ionescu", date "2025-05-02", note "Quick full-body session, short rest periods." with exercises "Barbell Bench Press" (sets "3", reps "8", weight "75"), "Lat Pulldown" (sets "3", reps "10", weight "60"), "Leg Press" (sets "3", reps "12", weight "110"), "Cable Crunch" (sets "3", reps "15", weight "22").</t>
  </si>
  <si>
    <t>A workout session was created for the member "Andrei Ionescu", date "2025-05-16", note "Dedicated shoulder session. Lateral raises burned." with exercises "Dumbbell Shoulder Press" (sets "4", reps "10", weight "22"), "Dumbbell Lateral Raise" (sets "5", reps "15", weight "8"), "Cable Tricep Pushdown" (sets "3", reps "15", weight "28").</t>
  </si>
  <si>
    <t>A workout session was created for the member "Andrei Ionescu", date "2025-05-30", note "Combined back and core work. Core was the weak link." with exercises "Seated Cable Row" (sets "4", reps "12", weight "50"), "Lat Pulldown" (sets "4", reps "10", weight "62"), "Dumbbell Russian Twist" (sets "4", reps "20", weight "6"), "Cable Crunch" (sets "3", reps "15", weight "20").</t>
  </si>
  <si>
    <t>A workout session was created for the member "Andrei Ionescu", date "2025-06-13", note "Heavier weights, lower reps. Bench felt great." with exercises "Barbell Bench Press" (sets "5", reps "5", weight "90"), "Lat Pulldown" (sets "5", reps "6", weight "72"), "Dumbbell Shoulder Press" (sets "4", reps "6", weight "30").</t>
  </si>
  <si>
    <t>A workout session was created for the member "Andrei Ionescu", date "2025-06-27", note "End-of-week full-body session. Finished strong." with exercises "Barbell Bench Press" (sets "3", reps "10", weight "72"), "Romanian Deadlift" (sets "3", reps "10", weight "65"), "Barbell Bicep Curl" (sets "3", reps "12", weight "32"), "Cable Crunch" (sets "3", reps "15", weight "20"), "Leg Press" (sets "3", reps "12", weight "100").</t>
  </si>
  <si>
    <t>Another member was created with email "calin.horvat@stud.ubbcluj.ro", full name "Aris Horvat", phone "+40721100002", date of birth "2004-06-18" and membership start "2025-01-10".</t>
  </si>
  <si>
    <t>For this member no exercise or sessions were created</t>
  </si>
  <si>
    <t>Should we create a script to create demo data?</t>
  </si>
  <si>
    <t>In order to view a progress report for a specific member the Gym Administrator must go to the members list at "/admin/members", select one of the members, and press its associated "View" button (expected, passed).</t>
  </si>
  <si>
    <t>From this member detailed view at "/admin/members/[memberId]" the Gym Administrator can press the "View Report" button in order to reach the detailed report view page of the given member (expected, passed).</t>
  </si>
  <si>
    <t>The report detailed view is available at "/admin/members/[memberId]/report" (expected, passed).</t>
  </si>
  <si>
    <t>The Gym Administrator must select from the form a start date and end date to generate the progress report for (expected, passed).</t>
  </si>
  <si>
    <t>Testing the report generation form with various inputs - it is impossible to select an invalid date format as the custom date input component allows only valid combinations of dates (expected, passed).</t>
  </si>
  <si>
    <t>Testing the report generation form with various inputs - the member id for which to create the report is taken from the URL path. Altering the value to a non-existent id returns a 404 message (expected, passed).</t>
  </si>
  <si>
    <t>Testing the report generation form with various inputs - the member id for which to create the report is taken from the URL path. Altering the value to an existent id renders the report page for that other specified member (expected, passed).</t>
  </si>
  <si>
    <t>Testing the report generation form with various inputs - start date after the end date does not return anything (expected, passed).</t>
  </si>
  <si>
    <t>Should this be possible? Maybe we should show a "Validation Failed" message instead together with field level errors.</t>
  </si>
  <si>
    <t>Testing the report generation form with various inputs - valid date interval returns the workout sessions performed in that timeframe (expected, passed).</t>
  </si>
  <si>
    <t>The report shows the total number of sessions performed, the total volume (reps*sets*weights) and the average duration of a session as aggregate values (expected, passed).</t>
  </si>
  <si>
    <t>The report also shows a per exercise breakdown with aggregate values - number of sessions, number of sets, number of total reps (sets*reps) and the volume (sets*reps*weight) (expected, passed).</t>
  </si>
  <si>
    <t>The report finally shows multiple cards with the actual workout session details, with date, notes, duration, exercises with reps, sets, weights and an aggregate total volume (reps*sets*weights) (expected, passed).</t>
  </si>
  <si>
    <t>The report cards show the date as in MM/DD/YYYY format instead of DD/MM/YYYY (unexpected, failed).</t>
  </si>
  <si>
    <t>Testing the report generation form with various inputs - start date equal to end date does not return anything even when there are workout sessions present in that day (unexpected, failed).</t>
  </si>
  <si>
    <t>The report only shows workout sessions from the valid timeframe and nothing that is not within that range (expected, passed).</t>
  </si>
  <si>
    <t>The Gym Administartor can generate progress reports for any member (expected, passed).</t>
  </si>
  <si>
    <t>In order to test the Gym Member view of the progress reports I will log out of the Gym Administrator account and log in to "andrei.inoescu@gmail.com" and the associated temporary password.</t>
  </si>
  <si>
    <t>The Gym Member can navigate to "My Report" via the sidebar navigation, or directly to the URL "/member/report" (expected, passed).</t>
  </si>
  <si>
    <t>The member id is no longer present in the URL, and as the code shows is taken directly from the logged in user session (expected, passed).</t>
  </si>
  <si>
    <t>The Gym Member can only generate a report for itself (expected, passed).</t>
  </si>
  <si>
    <t>The Gym Member has access to a very similar form as the Gym Administrator in order to generate a progress report (expected, passed).</t>
  </si>
  <si>
    <t>This brings the same question as above, regarding validation errors.</t>
  </si>
  <si>
    <t>The format of the result is exactly the same as for the Gym Administrator (expected, passed).</t>
  </si>
  <si>
    <t>Those are the same bugs from before, since the two use shared components.</t>
  </si>
  <si>
    <t>These bugs are critical for the progress report generation and shall be fixed ASAP, and perhaps the validation error shall too be added here.</t>
  </si>
  <si>
    <t>Apple MacBook Air, M1, MacOS Sequoia 15.7.4, Chromium Engine 147.0.7727.102 (Arc)</t>
  </si>
  <si>
    <t>This session aims to evaluate to which extent have the previously mentioned bugs been fixed</t>
  </si>
  <si>
    <t>I will verify each bug of the previous sessions systematically.</t>
  </si>
  <si>
    <t>BUG #1 (Reported by Antonio Hus): "The admin credentials check fails with "Validation failed", "Password must be at least 8 characters"."</t>
  </si>
  <si>
    <t>Antonio is referring to the following information "The problem statement documentation states that the application provisions an administrator account on startup with the following credentials: admin@gymtrackerpro.com (email) / admin (password)."</t>
  </si>
  <si>
    <t>The documentation now states that valid Gym Administrator credentials are admin@gymtrackerpro.com (email) / Admin1234* (password) (expected, passed).</t>
  </si>
  <si>
    <t>The new credentials fit all the validation criteria for a valid administrator account (expected, passed).</t>
  </si>
  <si>
    <t>After logging in as the Gym Administrator using valid credentials, the application redirects to '/admin/dashboard/' and no more "Validation failed" is thrown (expected, passed).</t>
  </si>
  <si>
    <t>Thus BUG #1 is fixed.</t>
  </si>
  <si>
    <t>BUG #2 (Reported by Ariana Ilieș): "The page displays the date of birth under a 'Contact' section, which is a misnomer."</t>
  </si>
  <si>
    <t>Ariana is referring to the content displayed on the "/admin/members/[member-id]" page.</t>
  </si>
  <si>
    <t>The page now displays "Member Information" instead of "Contact", esentially fixing the misnomer (expected, passed).</t>
  </si>
  <si>
    <t>For consistency the page was also modified to show "Membership Information" instead of "Membership"</t>
  </si>
  <si>
    <t>Thus BUG #2 is fixed.</t>
  </si>
  <si>
    <t>BUG #3 (Reported by Costin Joldeș): "Setup failed - Error response from daemon: failed to set up container networking: network f0c4e7db68c1a2d128be083cc3e10fc89cfbeb0012b9a3fcc10042b83ca36963 not found"</t>
  </si>
  <si>
    <t>Costin is referring to a bug in the startup sequence of the container.</t>
  </si>
  <si>
    <t>The container now starts as expected (Costin also mentioned it was his environment problem) (expected, passed).</t>
  </si>
  <si>
    <t>Thus BUG #3 is fixed.</t>
  </si>
  <si>
    <t>BUG #4 (Reported by Costin Joldeș): "[CRUD - CREATE] Testing the exercise creation form with a variety of inputs - entering a description longer than 1024 characters results in a "Validation failed" but no field-level error is presented (unexpected, failed)."</t>
  </si>
  <si>
    <t>Costin is referring to a bug in the creation of a new exercise on the page "/admin/exercises/new".</t>
  </si>
  <si>
    <t>The creation form now shows "Validation failed" and "Description must be at most 1024 characters" field-level error for a description longer than 1024 characters (expected, passed).</t>
  </si>
  <si>
    <t>Thus BUG #4 is fixed.</t>
  </si>
  <si>
    <t>BUG #5 (Reported by Costin Joldeș): "[CRUD - LIST] Searching for ' c' (with spacebar in the front) does not match any of the exercises (unexpected) - the input must be trimmed of whitespaces before sending it to the backend."</t>
  </si>
  <si>
    <t>Costin is referring to the behaviour of the exercise list page search input on the page "/admin/exercises".</t>
  </si>
  <si>
    <t>After consulting with the team we have decided this is actually expected behaviour.</t>
  </si>
  <si>
    <t>Thus BUG #5 is fixed.</t>
  </si>
  <si>
    <t>BUG #6 (Reported by Costin Joldeș): "Actually, looking at the session of Ariana Ilieș, it can be noticed that exercises do not have a detailed read-only view like the members have. Navigating to the specified route but for exercises ('/admin/exercises/[id]') shows a 404 message)."</t>
  </si>
  <si>
    <t>Costin is referring to a missing read-only exercise details page, required in order to be consistent with the members management feature.</t>
  </si>
  <si>
    <t>A new page was added at "/admin/exercises/[exercise-id]" showing details about the exercise in a read-only mode (expected, passed).</t>
  </si>
  <si>
    <t>The page shows exercise "Classification" - muscle group and equipment type, "Availability" - status, and the description (expected, passed).</t>
  </si>
  <si>
    <t>Thus BUG #6 is fixed.</t>
  </si>
  <si>
    <t>BUG #7 (Reported by Costin Joldeș): "[CRUD - UPDATE] Testing the exercise update form with a variety of inputs - updating only the description field with an invalid string (more than 1024 characters) results in a "Validation failed" response but no field-level error (unexpected, failed)."</t>
  </si>
  <si>
    <t>Costin is referring to a bug in the editing of an existing exercise on the page "/admin/exercises/[exercise-id]/edit".</t>
  </si>
  <si>
    <t>The editing form now shows "Validation failed" and "Description must be at most 1024 characters" field-level error for a description longer than 1024 characters (expected, passed).</t>
  </si>
  <si>
    <t>Thus BUG #7 is fixed.</t>
  </si>
  <si>
    <t>BUG #8 (Reported by Costin Joldeș): "[CRUD - DELETE] Edge Case - trying to delete an exercise already in use by a workout session does not show an error, instead it just redirects to the exercise list"</t>
  </si>
  <si>
    <t>Costin is referring to a bug in the deletion of an existing exercise on the page "/admin/exercises/[exercise-id]/edit".</t>
  </si>
  <si>
    <t>After consulting with the team we have decided that even though this is not ideal user experience, the behaviour will remain as such in order to be consistent with the deletion mechanisms of the other entities.</t>
  </si>
  <si>
    <t>Thus BUG #8 is fixed.</t>
  </si>
  <si>
    <t>BUG #9 (Reported by Mara Ielciu): "[CRUD - CREATE] Testing the workout session creation form with a variety of inputs - entering notes longer than 1024 characters results in a "Validation failed" but no field-level error (unexpected, failed)."</t>
  </si>
  <si>
    <t>Mara is referring to a bug in the creation form of a new workout session on the "/admin/workout-sessions/new" page.</t>
  </si>
  <si>
    <t>The creation form now shows "Validation failed" and "Notes must be at most 1024 characters" field-level error for a notes input longer than 1024 characters (expected, passed).</t>
  </si>
  <si>
    <t>Thus BUG #9 is fixed.</t>
  </si>
  <si>
    <t>BUG#10-BUG#19 (Reported by Mara Ielciu): "[CRUD - CREATE] Testing the workout session exercises input with a variety of inputs - not selecting the exercise from the dropdown list of exercises results in an "Invalid exercises" response with no field level error (unexpected, failed)."</t>
  </si>
  <si>
    <t>Mara is referring to bugs in the creation form of a new workout session on the "/admin/workout-sessions/new" page.</t>
  </si>
  <si>
    <t>The creation form now shows "Invalid exercise" and field-level errors for each of the invalid exercises and invalid exercise fields (expected, passed).</t>
  </si>
  <si>
    <t>Thus BUG #10, BUG #11, BUG #12, BUG #13, BUG #14, BUG #15, BUG #16, BUG #17, BUG #18, BUG #19 are fixed.</t>
  </si>
  <si>
    <t>BUG #20 (Reported by Mara Ielciu): "[CRUD - UPDATE] The same bug regarding description field valid errors is also present in the workout session update form (unexpected, failed)."</t>
  </si>
  <si>
    <t>Mara is referring to a bug in the editing form of an existing workout session on the "/admin/workout-sessions/[workout-session-id]/edit" page.</t>
  </si>
  <si>
    <t>The editing form now shows "Validation failed" and "Notes must be at most 1024 characters" field-level error for a notes input longer than 1024 characters (expected, passed).</t>
  </si>
  <si>
    <t>Thus BUG #20 is fixed.</t>
  </si>
  <si>
    <t>BUG #21 (Reported by Mara Ielciu): "[CRUD - UPDATE] The same bugs regarding workout session exercises field valid errors are also present in the workout session update form (unexpected, failed)."</t>
  </si>
  <si>
    <t>Mara is referring to bugs in the editing form of an existing workout session on the "/admin/workout-sessions/[workout-session-id]/edit" page.</t>
  </si>
  <si>
    <t>The editing form now shows "Invalid exercise" and field-level errors for each of the invalid exercises and invalid exercise fields (expected, passed).</t>
  </si>
  <si>
    <t>Thus BUG #21 is fixed.</t>
  </si>
  <si>
    <t>BUG #22, BUG #24 (Reported by Aris Horvat): "The report cards show the date as in MM/DD/YYYY format instead of DD/MM/YYYY (unexpected, failed)."</t>
  </si>
  <si>
    <t>Aris is referring to a bug present in both "/admin/members/[memberId]/report" and "member/report" pages (using shared report components).</t>
  </si>
  <si>
    <t>The report cards now show the dates in the expected format (expected, passed).</t>
  </si>
  <si>
    <t>Thus BUG #22 and BUG #24 are fixed.</t>
  </si>
  <si>
    <t>BUG #23, BUG #25 (Reported by Aris Horvat): "Testing the report generation form with various inputs - start date equal to end date does not return anything even when there are workout sessions present in that day (unexpected, failed)."</t>
  </si>
  <si>
    <t>The report generation form now shows the workout sessions even with start date equal to end date equal to the date of the workout session (expected, passed).</t>
  </si>
  <si>
    <t>Thus BUG #23 and BUG #25 are fixed.</t>
  </si>
  <si>
    <t>It can be observed that all of the reported bugs have been fixed.</t>
  </si>
  <si>
    <t>Further the posed questions will be addressed</t>
  </si>
  <si>
    <t>QUESTION #1 (Posed by Costin Joldeș): "The above test might reveal a potential issue (no restriction on allowed characters of exercise name) - investigate if needed."</t>
  </si>
  <si>
    <t>Costin is referring to the validation schema applied to exercise creation and editing. Should title be allowed to contain special characters?</t>
  </si>
  <si>
    <t>After consulting with the team we have decided that it should be allowed (current behaviour).</t>
  </si>
  <si>
    <t>Thus QUESTION #1 has been answered.</t>
  </si>
  <si>
    <t>QUESTION #2 (Posed by Costin Joldeș): "Are those HTML warnings to be expected actually or should field errors be presented instead?"</t>
  </si>
  <si>
    <t>Costin is referring to the validation errors displayed across the forms of the application (in particular to those for exercise creation and editing).</t>
  </si>
  <si>
    <t>After consulting with the team we have decided that custom field level errors should be presented instead.</t>
  </si>
  <si>
    <t>Every form inside the application is now marked "noValidate", and upon interaction no more HTML warnings are displayed. Instead our custom field-level errors are shown (expected, passed).</t>
  </si>
  <si>
    <t>Thus QUESTION #2 has been answered.</t>
  </si>
  <si>
    <t>QUESTION #3 (Posed by Costin Joldeș): "Presenting the select values for muscle group and equipment as ALL-CAPS might not be the most user friendly option."</t>
  </si>
  <si>
    <t>Costin is referring to the select values displayed inside the exercise creation and editing forms.</t>
  </si>
  <si>
    <t>The problem however can be generalized to the entire application - anywhere that these exercise properties appear.</t>
  </si>
  <si>
    <t>After consulting with the team we have decided that whilst this is not the most user friendly option, the current behaviour will remain.</t>
  </si>
  <si>
    <t>Thus QUESTION #3 has been answered.</t>
  </si>
  <si>
    <t>QUESTION #4 (Posed by Aris Horvat): "Should we create a script to create demo data?"</t>
  </si>
  <si>
    <t>Aris is referring to a script that would seed test data for the progress report feature.</t>
  </si>
  <si>
    <t>The feature however can be generalized to test data for all of the features of the application.</t>
  </si>
  <si>
    <t>A new seed test data script was created, which automatically creates 12 members, 12 exercises and 144 workout session (combinations of the members and exercises).</t>
  </si>
  <si>
    <t>The test data exists inside the application and can be fully interacted with, reducing setup time for exploratory testing (expected, passed).</t>
  </si>
  <si>
    <t>Thus QUESTION #4 has been answered.</t>
  </si>
  <si>
    <t>It can be observed that all of the posed questions have been addressed.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</si>
</sst>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7">
    <font>
      <sz val="10.0"/>
      <color rgb="FF000000"/>
      <name val="Arial"/>
    </font>
    <font/>
    <font>
      <sz val="14.0"/>
    </font>
    <font>
      <b/>
      <sz val="10.0"/>
    </font>
    <font>
      <sz val="18.0"/>
    </font>
    <font>
      <b/>
    </font>
    <font>
      <color rgb="FF808080"/>
    </font>
  </fonts>
  <fills count="9">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0000"/>
        <bgColor rgb="FFFF0000"/>
      </patternFill>
    </fill>
    <fill>
      <patternFill patternType="solid">
        <fgColor rgb="FF93C47D"/>
        <bgColor rgb="FF93C47D"/>
      </patternFill>
    </fill>
    <fill>
      <patternFill patternType="solid">
        <fgColor rgb="FFFFFFFF"/>
        <bgColor rgb="FFFFFFFF"/>
      </patternFill>
    </fill>
    <fill>
      <patternFill patternType="solid">
        <fgColor rgb="FF6D9EEB"/>
        <bgColor rgb="FF6D9EEB"/>
      </patternFill>
    </fill>
    <fill>
      <patternFill patternType="solid">
        <fgColor rgb="FFEB0000"/>
        <bgColor rgb="FFEB0000"/>
      </patternFill>
    </fill>
  </fills>
  <borders count="4">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39">
    <xf borderId="0" fillId="0" fontId="0" numFmtId="0" xfId="0" applyAlignment="1" applyFont="1">
      <alignment readingOrder="0" shrinkToFit="0" vertical="bottom" wrapText="1"/>
    </xf>
    <xf borderId="0" fillId="2" fontId="1" numFmtId="0" xfId="0" applyAlignment="1" applyFill="1" applyFont="1">
      <alignment readingOrder="0" shrinkToFit="0" wrapText="1"/>
    </xf>
    <xf borderId="0" fillId="0" fontId="1" numFmtId="0" xfId="0" applyAlignment="1" applyFont="1">
      <alignment horizontal="right" shrinkToFit="0" wrapText="1"/>
    </xf>
    <xf borderId="1" fillId="0" fontId="2" numFmtId="0" xfId="0" applyAlignment="1" applyBorder="1" applyFont="1">
      <alignment horizontal="center" readingOrder="0" shrinkToFit="0" vertical="center" wrapText="1"/>
    </xf>
    <xf borderId="1" fillId="0" fontId="1" numFmtId="0" xfId="0" applyAlignment="1" applyBorder="1" applyFont="1">
      <alignment shrinkToFit="0" wrapText="1"/>
    </xf>
    <xf borderId="0" fillId="0" fontId="2" numFmtId="0" xfId="0" applyAlignment="1" applyFont="1">
      <alignment horizontal="center" readingOrder="0" shrinkToFit="0" vertical="center" wrapText="1"/>
    </xf>
    <xf borderId="2" fillId="3" fontId="3" numFmtId="0" xfId="0" applyAlignment="1" applyBorder="1" applyFill="1" applyFont="1">
      <alignment horizontal="center" readingOrder="0" shrinkToFit="0" vertical="bottom" wrapText="1"/>
    </xf>
    <xf borderId="2" fillId="0" fontId="1" numFmtId="0" xfId="0" applyAlignment="1" applyBorder="1" applyFont="1">
      <alignment shrinkToFit="0" wrapText="1"/>
    </xf>
    <xf borderId="3" fillId="0" fontId="3" numFmtId="0" xfId="0" applyAlignment="1" applyBorder="1" applyFont="1">
      <alignment horizontal="center" shrinkToFit="0" vertical="bottom" wrapText="1"/>
    </xf>
    <xf borderId="3" fillId="0" fontId="1" numFmtId="0" xfId="0" applyAlignment="1" applyBorder="1" applyFont="1">
      <alignment shrinkToFit="0" wrapText="1"/>
    </xf>
    <xf borderId="3" fillId="0" fontId="1" numFmtId="0" xfId="0" applyAlignment="1" applyBorder="1" applyFont="1">
      <alignment horizontal="right" shrinkToFit="0" wrapText="1"/>
    </xf>
    <xf borderId="0" fillId="0" fontId="4" numFmtId="0" xfId="0" applyAlignment="1" applyFont="1">
      <alignment readingOrder="0" shrinkToFit="0" vertical="top" wrapText="1"/>
    </xf>
    <xf borderId="3" fillId="0" fontId="1" numFmtId="0" xfId="0" applyAlignment="1" applyBorder="1" applyFont="1">
      <alignment readingOrder="0" shrinkToFit="0" wrapText="1"/>
    </xf>
    <xf borderId="0" fillId="0" fontId="1" numFmtId="0" xfId="0" applyAlignment="1" applyFont="1">
      <alignment shrinkToFit="0" vertical="top" wrapText="1"/>
    </xf>
    <xf borderId="0" fillId="0" fontId="5"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4" fontId="1" numFmtId="0" xfId="0" applyAlignment="1" applyFill="1" applyFont="1">
      <alignment readingOrder="0" shrinkToFit="0" wrapText="1"/>
    </xf>
    <xf borderId="1" fillId="3" fontId="3" numFmtId="0" xfId="0" applyAlignment="1" applyBorder="1" applyFont="1">
      <alignment readingOrder="0" shrinkToFit="0" wrapText="1"/>
    </xf>
    <xf borderId="1" fillId="3" fontId="3" numFmtId="0" xfId="0" applyAlignment="1" applyBorder="1" applyFont="1">
      <alignment readingOrder="0" shrinkToFit="0" wrapText="1"/>
    </xf>
    <xf borderId="1" fillId="3" fontId="3" numFmtId="0" xfId="0" applyAlignment="1" applyBorder="1" applyFont="1">
      <alignment horizontal="right" readingOrder="0" shrinkToFit="0" wrapText="1"/>
    </xf>
    <xf borderId="3" fillId="0" fontId="1" numFmtId="0" xfId="0" applyAlignment="1" applyBorder="1" applyFont="1">
      <alignment readingOrder="0" shrinkToFit="0" wrapText="1"/>
    </xf>
    <xf borderId="3" fillId="0" fontId="1" numFmtId="14" xfId="0" applyAlignment="1" applyBorder="1" applyFont="1" applyNumberFormat="1">
      <alignment horizontal="right" readingOrder="0" shrinkToFit="0" wrapText="1"/>
    </xf>
    <xf borderId="0" fillId="0" fontId="1" numFmtId="14" xfId="0" applyAlignment="1" applyFont="1" applyNumberFormat="1">
      <alignment horizontal="right" readingOrder="0" shrinkToFit="0" wrapText="1"/>
    </xf>
    <xf borderId="0" fillId="0" fontId="1" numFmtId="0" xfId="0" applyAlignment="1" applyFont="1">
      <alignment horizontal="right" readingOrder="0" shrinkToFit="0" wrapText="1"/>
    </xf>
    <xf borderId="0" fillId="3" fontId="6" numFmtId="14" xfId="0" applyAlignment="1" applyFont="1" applyNumberFormat="1">
      <alignment readingOrder="0" shrinkToFit="0" wrapText="1"/>
    </xf>
    <xf borderId="0" fillId="0" fontId="6" numFmtId="0" xfId="0" applyAlignment="1" applyFont="1">
      <alignment readingOrder="0" shrinkToFit="0" wrapText="1"/>
    </xf>
    <xf borderId="0" fillId="0" fontId="6" numFmtId="1" xfId="0" applyAlignment="1" applyFont="1" applyNumberFormat="1">
      <alignment readingOrder="0" shrinkToFit="0" wrapText="1"/>
    </xf>
    <xf borderId="0" fillId="0" fontId="6" numFmtId="1" xfId="0" applyAlignment="1" applyFont="1" applyNumberFormat="1">
      <alignment shrinkToFit="0" wrapText="1"/>
    </xf>
    <xf borderId="0" fillId="0" fontId="1" numFmtId="0" xfId="0" applyAlignment="1" applyFont="1">
      <alignment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3" fontId="6" numFmtId="164" xfId="0" applyAlignment="1" applyFont="1" applyNumberFormat="1">
      <alignment readingOrder="0" shrinkToFit="0" wrapText="1"/>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3" fontId="6" numFmtId="0" xfId="0" applyAlignment="1" applyFont="1">
      <alignment shrinkToFit="0" wrapText="1"/>
    </xf>
    <xf borderId="0" fillId="3" fontId="6" numFmtId="164" xfId="0" applyAlignment="1" applyFont="1" applyNumberForma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Test/Bugs/Setup/OffCharter</a:t>
            </a:r>
          </a:p>
        </c:rich>
      </c:tx>
      <c:overlay val="0"/>
    </c:title>
    <c:view3D>
      <c:rotX val="50"/>
      <c:perspective val="0"/>
    </c:view3D>
    <c:plotArea>
      <c:layout/>
      <c:pie3DChart>
        <c:varyColors val="1"/>
        <c:ser>
          <c:idx val="0"/>
          <c:order val="0"/>
          <c:dPt>
            <c:idx val="0"/>
            <c:spPr>
              <a:solidFill>
                <a:srgbClr val="4EC24F"/>
              </a:solidFill>
            </c:spPr>
          </c:dPt>
          <c:dPt>
            <c:idx val="1"/>
            <c:spPr>
              <a:solidFill>
                <a:srgbClr val="4082FA"/>
              </a:solidFill>
            </c:spPr>
          </c:dPt>
          <c:dPt>
            <c:idx val="2"/>
            <c:spPr>
              <a:solidFill>
                <a:srgbClr val="CC0000"/>
              </a:solidFill>
            </c:spPr>
          </c:dPt>
          <c:dPt>
            <c:idx val="3"/>
            <c:spPr>
              <a:solidFill>
                <a:srgbClr val="FFE97A"/>
              </a:solidFill>
            </c:spPr>
          </c:dPt>
          <c:dLbls>
            <c:showLegendKey val="0"/>
            <c:showVal val="1"/>
            <c:showCatName val="0"/>
            <c:showSerName val="0"/>
            <c:showPercent val="0"/>
            <c:showBubbleSize val="0"/>
            <c:showLeaderLines val="1"/>
          </c:dLbls>
          <c:cat>
            <c:strRef>
              <c:f>Summary!$B$8:$B$11</c:f>
            </c:strRef>
          </c:cat>
          <c:val>
            <c:numRef>
              <c:f>Summary!$C$8:$C$11</c:f>
              <c:numCache/>
            </c:numRef>
          </c:val>
        </c:ser>
        <c:dLbls>
          <c:showLegendKey val="0"/>
          <c:showVal val="0"/>
          <c:showCatName val="0"/>
          <c:showSerName val="0"/>
          <c:showPercent val="0"/>
          <c:showBubbleSize val="0"/>
        </c:dLbls>
      </c:pie3DChart>
    </c:plotArea>
    <c:legend>
      <c:legendPos val="r"/>
      <c:overlay val="0"/>
      <c:txPr>
        <a:bodyPr/>
        <a:lstStyle/>
        <a:p>
          <a:pPr lvl="0">
            <a:defRPr b="0" sz="1100">
              <a:solidFill>
                <a:srgbClr val="222222"/>
              </a:solidFill>
              <a:latin typeface="Roboto"/>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Testing Summary by Area</a:t>
            </a:r>
          </a:p>
        </c:rich>
      </c:tx>
      <c:overlay val="0"/>
    </c:title>
    <c:plotArea>
      <c:layout/>
      <c:barChart>
        <c:barDir val="col"/>
        <c:ser>
          <c:idx val="0"/>
          <c:order val="0"/>
          <c:tx>
            <c:strRef>
              <c:f>Summary!$C$19</c:f>
            </c:strRef>
          </c:tx>
          <c:spPr>
            <a:solidFill>
              <a:srgbClr val="4082FA"/>
            </a:solidFill>
            <a:ln cmpd="sng">
              <a:solidFill>
                <a:srgbClr val="000000"/>
              </a:solidFill>
            </a:ln>
          </c:spPr>
          <c:dPt>
            <c:idx val="1"/>
          </c:dPt>
          <c:cat>
            <c:strRef>
              <c:f>Summary!$B$20:$B$47</c:f>
            </c:strRef>
          </c:cat>
          <c:val>
            <c:numRef>
              <c:f>Summary!$C$20:$C$47</c:f>
              <c:numCache/>
            </c:numRef>
          </c:val>
        </c:ser>
        <c:ser>
          <c:idx val="1"/>
          <c:order val="1"/>
          <c:tx>
            <c:strRef>
              <c:f>Summary!$D$19</c:f>
            </c:strRef>
          </c:tx>
          <c:spPr>
            <a:solidFill>
              <a:srgbClr val="4EC24F"/>
            </a:solidFill>
            <a:ln cmpd="sng">
              <a:solidFill>
                <a:srgbClr val="000000"/>
              </a:solidFill>
            </a:ln>
          </c:spPr>
          <c:cat>
            <c:strRef>
              <c:f>Summary!$B$20:$B$47</c:f>
            </c:strRef>
          </c:cat>
          <c:val>
            <c:numRef>
              <c:f>Summary!$D$20:$D$47</c:f>
              <c:numCache/>
            </c:numRef>
          </c:val>
        </c:ser>
        <c:ser>
          <c:idx val="2"/>
          <c:order val="2"/>
          <c:tx>
            <c:strRef>
              <c:f>Summary!$E$19</c:f>
            </c:strRef>
          </c:tx>
          <c:spPr>
            <a:solidFill>
              <a:srgbClr val="EB0000"/>
            </a:solidFill>
            <a:ln cmpd="sng">
              <a:solidFill>
                <a:srgbClr val="000000"/>
              </a:solidFill>
            </a:ln>
          </c:spPr>
          <c:cat>
            <c:strRef>
              <c:f>Summary!$B$20:$B$47</c:f>
            </c:strRef>
          </c:cat>
          <c:val>
            <c:numRef>
              <c:f>Summary!$E$20:$E$47</c:f>
              <c:numCache/>
            </c:numRef>
          </c:val>
        </c:ser>
        <c:ser>
          <c:idx val="3"/>
          <c:order val="3"/>
          <c:tx>
            <c:strRef>
              <c:f>Summary!$F$19</c:f>
            </c:strRef>
          </c:tx>
          <c:spPr>
            <a:solidFill>
              <a:srgbClr val="F4CCCC"/>
            </a:solidFill>
            <a:ln cmpd="sng">
              <a:solidFill>
                <a:srgbClr val="000000"/>
              </a:solidFill>
            </a:ln>
          </c:spPr>
          <c:cat>
            <c:strRef>
              <c:f>Summary!$B$20:$B$47</c:f>
            </c:strRef>
          </c:cat>
          <c:val>
            <c:numRef>
              <c:f>Summary!$F$20:$F$83</c:f>
              <c:numCache/>
            </c:numRef>
          </c:val>
        </c:ser>
        <c:axId val="2134165623"/>
        <c:axId val="621856268"/>
      </c:barChart>
      <c:catAx>
        <c:axId val="213416562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800">
                <a:solidFill>
                  <a:srgbClr val="222222"/>
                </a:solidFill>
                <a:latin typeface="Roboto"/>
              </a:defRPr>
            </a:pPr>
          </a:p>
        </c:txPr>
        <c:crossAx val="621856268"/>
      </c:catAx>
      <c:valAx>
        <c:axId val="6218562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34165623"/>
      </c:valAx>
    </c:plotArea>
    <c:legend>
      <c:legendPos val="r"/>
      <c:overlay val="0"/>
      <c:txPr>
        <a:bodyPr/>
        <a:lstStyle/>
        <a:p>
          <a:pPr lvl="0">
            <a:defRPr b="0" sz="1100">
              <a:solidFill>
                <a:srgbClr val="222222"/>
              </a:solidFill>
              <a:latin typeface="Roboto"/>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1866900</xdr:colOff>
      <xdr:row>1</xdr:row>
      <xdr:rowOff>590550</xdr:rowOff>
    </xdr:from>
    <xdr:ext cx="4848225" cy="3181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228600</xdr:colOff>
      <xdr:row>1</xdr:row>
      <xdr:rowOff>590550</xdr:rowOff>
    </xdr:from>
    <xdr:ext cx="6686550" cy="31813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25"/>
    <col customWidth="1" min="2" max="2" width="18.88"/>
    <col customWidth="1" min="3" max="3" width="8.38"/>
    <col customWidth="1" min="4" max="4" width="9.5"/>
    <col customWidth="1" min="5" max="5" width="8.0"/>
    <col customWidth="1" min="6" max="6" width="15.5"/>
    <col customWidth="1" min="7" max="7" width="3.63"/>
    <col customWidth="1" min="8" max="8" width="34.25"/>
    <col customWidth="1" min="9" max="9" width="24.13"/>
    <col customWidth="1" min="10" max="10" width="17.88"/>
    <col customWidth="1" min="11" max="11" width="12.0"/>
    <col customWidth="1" min="12" max="12" width="11.13"/>
    <col customWidth="1" min="13" max="13" width="8.88"/>
    <col customWidth="1" min="14" max="14" width="12.0"/>
    <col customWidth="1" min="15" max="15" width="3.25"/>
    <col customWidth="1" min="16" max="16" width="95.5"/>
    <col customWidth="1" min="17" max="20" width="15.13"/>
  </cols>
  <sheetData>
    <row r="1" ht="16.5" customHeight="1">
      <c r="A1" s="1" t="s">
        <v>0</v>
      </c>
      <c r="K1" s="2"/>
    </row>
    <row r="2" ht="48.75" customHeight="1">
      <c r="B2" s="3" t="s">
        <v>1</v>
      </c>
      <c r="C2" s="4"/>
      <c r="D2" s="4"/>
      <c r="E2" s="4"/>
      <c r="F2" s="4"/>
      <c r="G2" s="4"/>
      <c r="H2" s="4"/>
      <c r="I2" s="4"/>
      <c r="J2" s="4"/>
      <c r="K2" s="4"/>
      <c r="L2" s="5"/>
      <c r="M2" s="5"/>
    </row>
    <row r="3" ht="16.5" customHeight="1">
      <c r="B3" s="6" t="s">
        <v>2</v>
      </c>
      <c r="C3" s="7"/>
      <c r="D3" s="8"/>
      <c r="E3" s="9"/>
      <c r="F3" s="9"/>
      <c r="G3" s="9"/>
      <c r="H3" s="9"/>
      <c r="I3" s="9"/>
      <c r="J3" s="9"/>
      <c r="K3" s="10"/>
      <c r="M3" s="11"/>
    </row>
    <row r="4">
      <c r="B4" s="12" t="s">
        <v>3</v>
      </c>
      <c r="C4" s="12">
        <v>6.0</v>
      </c>
      <c r="K4" s="2"/>
      <c r="M4" s="13"/>
      <c r="N4" s="13"/>
      <c r="O4" s="14" t="s">
        <v>4</v>
      </c>
      <c r="Q4" s="13"/>
      <c r="R4" s="13"/>
    </row>
    <row r="5">
      <c r="B5" s="15" t="s">
        <v>5</v>
      </c>
      <c r="C5" s="15">
        <v>5.94</v>
      </c>
      <c r="K5" s="2"/>
      <c r="O5" s="16">
        <v>1.0</v>
      </c>
      <c r="P5" s="16" t="s">
        <v>6</v>
      </c>
      <c r="Q5" s="13"/>
      <c r="R5" s="13"/>
    </row>
    <row r="6">
      <c r="B6" s="15" t="s">
        <v>7</v>
      </c>
      <c r="C6" s="15">
        <v>25.0</v>
      </c>
      <c r="K6" s="2"/>
      <c r="O6" s="16">
        <v>2.0</v>
      </c>
      <c r="P6" s="16" t="s">
        <v>8</v>
      </c>
      <c r="Q6" s="13"/>
      <c r="R6" s="13"/>
    </row>
    <row r="7">
      <c r="K7" s="2"/>
      <c r="O7" s="16">
        <v>3.0</v>
      </c>
      <c r="P7" s="16" t="s">
        <v>9</v>
      </c>
      <c r="Q7" s="13"/>
      <c r="R7" s="13"/>
    </row>
    <row r="8">
      <c r="B8" s="15" t="s">
        <v>10</v>
      </c>
      <c r="C8" s="15">
        <v>5.11</v>
      </c>
      <c r="K8" s="2"/>
      <c r="O8" s="16">
        <v>4.0</v>
      </c>
      <c r="P8" s="16" t="s">
        <v>11</v>
      </c>
      <c r="Q8" s="13"/>
      <c r="R8" s="13"/>
    </row>
    <row r="9">
      <c r="B9" s="15" t="s">
        <v>12</v>
      </c>
      <c r="C9" s="15">
        <v>0.35</v>
      </c>
      <c r="K9" s="2"/>
      <c r="O9" s="13"/>
      <c r="P9" s="13"/>
      <c r="Q9" s="13"/>
      <c r="R9" s="13"/>
      <c r="S9" s="13"/>
      <c r="T9" s="13"/>
    </row>
    <row r="10">
      <c r="B10" s="15" t="s">
        <v>13</v>
      </c>
      <c r="C10" s="15">
        <v>0.48</v>
      </c>
      <c r="K10" s="2"/>
    </row>
    <row r="11">
      <c r="B11" s="15" t="s">
        <v>14</v>
      </c>
      <c r="C11" s="15">
        <v>0.0</v>
      </c>
      <c r="K11" s="2"/>
    </row>
    <row r="12">
      <c r="K12" s="2"/>
    </row>
    <row r="13">
      <c r="K13" s="2"/>
    </row>
    <row r="14">
      <c r="B14" s="15" t="s">
        <v>15</v>
      </c>
      <c r="C14" s="15">
        <v>6.0</v>
      </c>
      <c r="K14" s="2"/>
    </row>
    <row r="15">
      <c r="B15" s="15" t="s">
        <v>16</v>
      </c>
      <c r="C15" s="15">
        <v>0.0</v>
      </c>
      <c r="K15" s="2"/>
    </row>
    <row r="16">
      <c r="B16" s="17" t="s">
        <v>17</v>
      </c>
      <c r="C16" s="18">
        <v>0.0</v>
      </c>
      <c r="K16" s="2"/>
    </row>
    <row r="17">
      <c r="K17" s="2"/>
    </row>
    <row r="18" ht="17.25" customHeight="1">
      <c r="K18" s="2"/>
    </row>
    <row r="19" ht="17.25" customHeight="1">
      <c r="B19" s="19" t="s">
        <v>18</v>
      </c>
      <c r="C19" s="19" t="s">
        <v>19</v>
      </c>
      <c r="D19" s="19" t="s">
        <v>20</v>
      </c>
      <c r="E19" s="19" t="s">
        <v>21</v>
      </c>
      <c r="F19" s="20" t="s">
        <v>22</v>
      </c>
      <c r="H19" s="19" t="s">
        <v>23</v>
      </c>
      <c r="I19" s="19" t="s">
        <v>18</v>
      </c>
      <c r="J19" s="19" t="s">
        <v>24</v>
      </c>
      <c r="K19" s="21" t="s">
        <v>25</v>
      </c>
      <c r="L19" s="19" t="s">
        <v>26</v>
      </c>
      <c r="M19" s="19" t="s">
        <v>27</v>
      </c>
      <c r="N19" s="20" t="s">
        <v>28</v>
      </c>
    </row>
    <row r="20">
      <c r="B20" s="17"/>
      <c r="C20" s="17">
        <v>14.0</v>
      </c>
      <c r="D20" s="17">
        <v>14.039999999999997</v>
      </c>
      <c r="E20" s="17">
        <v>52.0</v>
      </c>
      <c r="F20" s="17">
        <v>0.0</v>
      </c>
      <c r="H20" s="22" t="s">
        <v>29</v>
      </c>
      <c r="I20" s="17"/>
      <c r="J20" s="22" t="s">
        <v>30</v>
      </c>
      <c r="K20" s="23">
        <v>46138.52042359953</v>
      </c>
      <c r="L20" s="12">
        <v>1.09</v>
      </c>
      <c r="M20" s="12">
        <v>1.0</v>
      </c>
      <c r="N20" s="15">
        <v>0.0</v>
      </c>
    </row>
    <row r="21">
      <c r="B21" s="17"/>
      <c r="C21" s="17"/>
      <c r="D21" s="17"/>
      <c r="E21" s="17"/>
      <c r="F21" s="17"/>
      <c r="H21" s="17" t="s">
        <v>31</v>
      </c>
      <c r="I21" s="17"/>
      <c r="J21" s="17" t="s">
        <v>32</v>
      </c>
      <c r="K21" s="24">
        <v>46138.58174400463</v>
      </c>
      <c r="L21" s="15">
        <v>0.93</v>
      </c>
      <c r="M21" s="15">
        <v>1.0</v>
      </c>
      <c r="N21" s="15">
        <v>0.0</v>
      </c>
    </row>
    <row r="22">
      <c r="B22" s="17"/>
      <c r="C22" s="17"/>
      <c r="D22" s="17"/>
      <c r="E22" s="17"/>
      <c r="F22" s="17"/>
      <c r="H22" s="17" t="s">
        <v>33</v>
      </c>
      <c r="I22" s="17"/>
      <c r="J22" s="17" t="s">
        <v>34</v>
      </c>
      <c r="K22" s="24">
        <v>46139.84322222222</v>
      </c>
      <c r="L22" s="15">
        <v>0.98</v>
      </c>
      <c r="M22" s="15">
        <v>6.0</v>
      </c>
      <c r="N22" s="15">
        <v>0.0</v>
      </c>
    </row>
    <row r="23">
      <c r="B23" s="17"/>
      <c r="C23" s="17"/>
      <c r="D23" s="17"/>
      <c r="E23" s="17"/>
      <c r="F23" s="17"/>
      <c r="H23" s="17" t="s">
        <v>35</v>
      </c>
      <c r="I23" s="17"/>
      <c r="J23" s="17" t="s">
        <v>36</v>
      </c>
      <c r="K23" s="24">
        <v>46141.78674231481</v>
      </c>
      <c r="L23" s="15">
        <v>1.13</v>
      </c>
      <c r="M23" s="15">
        <v>13.0</v>
      </c>
      <c r="N23" s="15">
        <v>0.0</v>
      </c>
    </row>
    <row r="24">
      <c r="H24" s="17" t="s">
        <v>37</v>
      </c>
      <c r="I24" s="17"/>
      <c r="J24" s="17" t="s">
        <v>38</v>
      </c>
      <c r="K24" s="24">
        <v>46142.475044189814</v>
      </c>
      <c r="L24" s="15">
        <v>0.85</v>
      </c>
      <c r="M24" s="15">
        <v>4.0</v>
      </c>
      <c r="N24" s="15">
        <v>0.0</v>
      </c>
    </row>
    <row r="25">
      <c r="H25" s="17" t="s">
        <v>39</v>
      </c>
      <c r="I25" s="17"/>
      <c r="J25" s="17" t="s">
        <v>40</v>
      </c>
      <c r="K25" s="24">
        <v>46142.52751753472</v>
      </c>
      <c r="L25" s="15">
        <v>0.95</v>
      </c>
      <c r="M25" s="15">
        <v>0.0</v>
      </c>
      <c r="N25" s="15">
        <v>0.0</v>
      </c>
    </row>
    <row r="26">
      <c r="K26" s="24"/>
    </row>
    <row r="27">
      <c r="K27" s="24"/>
    </row>
    <row r="28">
      <c r="K28" s="24"/>
    </row>
    <row r="29">
      <c r="K29" s="24"/>
    </row>
    <row r="30">
      <c r="K30" s="24"/>
    </row>
    <row r="31">
      <c r="K31" s="24"/>
    </row>
    <row r="32">
      <c r="K32" s="24"/>
    </row>
    <row r="33">
      <c r="K33" s="24"/>
    </row>
    <row r="34">
      <c r="K34" s="24"/>
    </row>
    <row r="35">
      <c r="K35" s="24"/>
    </row>
    <row r="36">
      <c r="K36" s="24"/>
    </row>
    <row r="37">
      <c r="K37" s="24"/>
    </row>
    <row r="38">
      <c r="K38" s="24"/>
    </row>
    <row r="39">
      <c r="K39" s="24"/>
    </row>
    <row r="40">
      <c r="K40" s="24"/>
    </row>
    <row r="41">
      <c r="K41" s="24"/>
    </row>
    <row r="42">
      <c r="K42" s="24"/>
    </row>
    <row r="43">
      <c r="K43" s="24"/>
    </row>
    <row r="44">
      <c r="K44" s="24"/>
    </row>
    <row r="45">
      <c r="K45" s="24"/>
    </row>
    <row r="46">
      <c r="K46" s="24"/>
    </row>
    <row r="47">
      <c r="K47" s="24"/>
    </row>
    <row r="48">
      <c r="K48" s="24"/>
    </row>
    <row r="49">
      <c r="K49" s="24"/>
    </row>
    <row r="50">
      <c r="K50" s="24"/>
    </row>
    <row r="51">
      <c r="K51" s="24"/>
    </row>
    <row r="52">
      <c r="K52" s="24"/>
    </row>
    <row r="53">
      <c r="K53" s="24"/>
    </row>
    <row r="54">
      <c r="K54" s="24"/>
    </row>
    <row r="55">
      <c r="K55" s="24"/>
    </row>
    <row r="56">
      <c r="K56" s="24"/>
    </row>
    <row r="57">
      <c r="K57" s="24"/>
    </row>
    <row r="58">
      <c r="K58" s="24"/>
    </row>
    <row r="59">
      <c r="K59" s="24"/>
    </row>
    <row r="60">
      <c r="K60" s="24"/>
    </row>
    <row r="61">
      <c r="K61" s="24"/>
    </row>
    <row r="62">
      <c r="K62" s="24"/>
    </row>
    <row r="63">
      <c r="K63" s="24"/>
    </row>
    <row r="64">
      <c r="K64" s="24"/>
    </row>
    <row r="65">
      <c r="K65" s="24"/>
    </row>
    <row r="66">
      <c r="K66" s="24"/>
    </row>
    <row r="67">
      <c r="K67" s="24"/>
    </row>
    <row r="68">
      <c r="K68" s="24"/>
    </row>
    <row r="69">
      <c r="K69" s="24"/>
    </row>
    <row r="70">
      <c r="K70" s="24"/>
    </row>
    <row r="71">
      <c r="K71" s="25"/>
    </row>
    <row r="72">
      <c r="K72" s="25"/>
    </row>
    <row r="73">
      <c r="K73" s="25"/>
    </row>
    <row r="74">
      <c r="K74" s="2"/>
    </row>
    <row r="75">
      <c r="K75" s="2"/>
    </row>
    <row r="76">
      <c r="K76" s="2"/>
    </row>
    <row r="77">
      <c r="K77" s="2"/>
    </row>
    <row r="78">
      <c r="K78" s="2"/>
    </row>
    <row r="79">
      <c r="K79" s="2"/>
    </row>
    <row r="80">
      <c r="K80" s="2"/>
    </row>
    <row r="81">
      <c r="K81" s="2"/>
    </row>
    <row r="82">
      <c r="K82" s="2"/>
    </row>
    <row r="83">
      <c r="K83" s="2"/>
    </row>
    <row r="84">
      <c r="K84" s="2"/>
    </row>
    <row r="85">
      <c r="K85" s="2"/>
    </row>
    <row r="86">
      <c r="K86" s="2"/>
    </row>
    <row r="87">
      <c r="K87" s="2"/>
    </row>
    <row r="88">
      <c r="K88" s="2"/>
    </row>
    <row r="89">
      <c r="K89" s="2"/>
    </row>
    <row r="90">
      <c r="K90" s="2"/>
    </row>
    <row r="91">
      <c r="K91" s="2"/>
    </row>
    <row r="92">
      <c r="K92" s="2"/>
    </row>
    <row r="93">
      <c r="K93" s="2"/>
    </row>
    <row r="94">
      <c r="K94" s="2"/>
    </row>
    <row r="95">
      <c r="K95" s="2"/>
    </row>
    <row r="96">
      <c r="K96" s="2"/>
    </row>
    <row r="97">
      <c r="K97" s="2"/>
    </row>
    <row r="98">
      <c r="K98" s="2"/>
    </row>
    <row r="99">
      <c r="K99" s="2"/>
    </row>
    <row r="100">
      <c r="K100" s="2"/>
    </row>
  </sheetData>
  <mergeCells count="5">
    <mergeCell ref="A1:E1"/>
    <mergeCell ref="B2:K2"/>
    <mergeCell ref="B3:C3"/>
    <mergeCell ref="M3:R3"/>
    <mergeCell ref="O4:P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46138.52042359953</v>
      </c>
      <c r="B1" s="27" t="s">
        <v>41</v>
      </c>
      <c r="C1" s="28">
        <v>65.50225</v>
      </c>
      <c r="J1" s="17" t="s">
        <v>42</v>
      </c>
      <c r="K1" s="17" t="s">
        <v>43</v>
      </c>
    </row>
    <row r="2">
      <c r="A2" s="26">
        <v>46138.520423657406</v>
      </c>
      <c r="B2" s="27" t="s">
        <v>44</v>
      </c>
      <c r="C2" s="28">
        <v>1.0</v>
      </c>
      <c r="K2" s="17" t="s">
        <v>45</v>
      </c>
    </row>
    <row r="3">
      <c r="A3" s="26">
        <v>46138.5204237037</v>
      </c>
      <c r="B3" s="27" t="s">
        <v>46</v>
      </c>
      <c r="C3" s="29">
        <f> COUNTIF(B:B, "Bug OffCharter")</f>
        <v>0</v>
      </c>
      <c r="K3" s="17" t="s">
        <v>47</v>
      </c>
    </row>
    <row r="4">
      <c r="A4" s="26">
        <v>46138.52042376157</v>
      </c>
      <c r="B4" s="27" t="s">
        <v>48</v>
      </c>
      <c r="C4" s="28">
        <v>53.732216666666666</v>
      </c>
      <c r="K4" s="17" t="s">
        <v>49</v>
      </c>
    </row>
    <row r="5">
      <c r="A5" s="26">
        <v>46138.52042381944</v>
      </c>
      <c r="B5" s="27" t="s">
        <v>50</v>
      </c>
      <c r="C5" s="28">
        <v>3.9927</v>
      </c>
      <c r="J5" s="17" t="s">
        <v>51</v>
      </c>
      <c r="K5" s="17" t="s">
        <v>52</v>
      </c>
    </row>
    <row r="6">
      <c r="A6" s="26">
        <v>46138.520423865746</v>
      </c>
      <c r="B6" s="27" t="s">
        <v>53</v>
      </c>
      <c r="C6" s="28">
        <v>7.7761000000000005</v>
      </c>
      <c r="J6" s="30"/>
      <c r="K6" s="17" t="s">
        <v>54</v>
      </c>
    </row>
    <row r="7">
      <c r="A7" s="26">
        <v>46138.52042390047</v>
      </c>
      <c r="B7" s="27" t="s">
        <v>55</v>
      </c>
      <c r="C7" s="28">
        <v>0.0</v>
      </c>
      <c r="K7" s="17" t="s">
        <v>56</v>
      </c>
    </row>
    <row r="8">
      <c r="A8" s="26">
        <v>46138.52042394676</v>
      </c>
      <c r="B8" s="27" t="s">
        <v>57</v>
      </c>
      <c r="C8" s="29">
        <f> COUNTIF(B:B, "Question")</f>
        <v>0</v>
      </c>
      <c r="K8" s="17" t="s">
        <v>58</v>
      </c>
    </row>
    <row r="9">
      <c r="A9" s="26">
        <v>46138.5204240162</v>
      </c>
      <c r="B9" s="27" t="s">
        <v>59</v>
      </c>
      <c r="C9" s="29">
        <f> COUNTIF(B:B, "NextTime")</f>
        <v>0</v>
      </c>
      <c r="K9" s="17" t="s">
        <v>60</v>
      </c>
    </row>
    <row r="10">
      <c r="A10" s="26">
        <v>46138.52042407407</v>
      </c>
      <c r="B10" s="17" t="s">
        <v>61</v>
      </c>
      <c r="C10" s="17" t="s">
        <v>30</v>
      </c>
    </row>
    <row r="11">
      <c r="A11" s="26">
        <v>46138.520424120376</v>
      </c>
      <c r="B11" s="17" t="s">
        <v>62</v>
      </c>
      <c r="C11" s="17" t="s">
        <v>29</v>
      </c>
    </row>
    <row r="12">
      <c r="A12" s="26">
        <v>46138.5204241551</v>
      </c>
      <c r="B12" s="17" t="s">
        <v>63</v>
      </c>
      <c r="C12" s="17">
        <v>60.0</v>
      </c>
    </row>
    <row r="13">
      <c r="A13" s="26">
        <v>46138.520424201386</v>
      </c>
      <c r="B13" s="17" t="s">
        <v>64</v>
      </c>
      <c r="C13" s="17" t="s">
        <v>65</v>
      </c>
    </row>
    <row r="14">
      <c r="A14" s="26">
        <v>46138.52042424769</v>
      </c>
      <c r="B14" s="17" t="s">
        <v>18</v>
      </c>
      <c r="C14" s="30"/>
    </row>
    <row r="15">
      <c r="A15" s="26">
        <v>46138.52042429398</v>
      </c>
      <c r="B15" s="17" t="s">
        <v>66</v>
      </c>
      <c r="C15" s="31" t="s">
        <v>43</v>
      </c>
    </row>
    <row r="16">
      <c r="A16" s="26">
        <v>46138.5204243287</v>
      </c>
      <c r="B16" s="17" t="s">
        <v>67</v>
      </c>
      <c r="C16" s="15">
        <v>-5.502250000000004</v>
      </c>
    </row>
    <row r="17">
      <c r="A17" s="26">
        <v>46138.520424375005</v>
      </c>
      <c r="B17" s="17" t="s">
        <v>68</v>
      </c>
      <c r="C17" s="32" t="s">
        <v>69</v>
      </c>
    </row>
    <row r="18">
      <c r="A18" s="33">
        <v>46138.520424456015</v>
      </c>
      <c r="B18" s="34" t="s">
        <v>47</v>
      </c>
      <c r="C18" s="17" t="s">
        <v>70</v>
      </c>
      <c r="D18" s="30"/>
    </row>
    <row r="19">
      <c r="A19" s="33">
        <v>46138.52122018518</v>
      </c>
      <c r="B19" s="34" t="s">
        <v>47</v>
      </c>
      <c r="C19" s="17" t="s">
        <v>71</v>
      </c>
    </row>
    <row r="20">
      <c r="A20" s="33">
        <v>46138.521795312496</v>
      </c>
      <c r="B20" s="31" t="s">
        <v>58</v>
      </c>
      <c r="C20" s="17" t="s">
        <v>72</v>
      </c>
    </row>
    <row r="21">
      <c r="A21" s="33">
        <v>46138.52372399306</v>
      </c>
      <c r="B21" s="34" t="s">
        <v>52</v>
      </c>
      <c r="C21" s="17" t="s">
        <v>73</v>
      </c>
    </row>
    <row r="22">
      <c r="A22" s="33">
        <v>46138.524523761575</v>
      </c>
      <c r="B22" s="31" t="s">
        <v>43</v>
      </c>
      <c r="C22" s="17" t="s">
        <v>74</v>
      </c>
    </row>
    <row r="23">
      <c r="A23" s="33">
        <v>46138.52510508102</v>
      </c>
      <c r="B23" s="31" t="s">
        <v>43</v>
      </c>
      <c r="C23" s="17" t="s">
        <v>75</v>
      </c>
    </row>
    <row r="24">
      <c r="A24" s="33">
        <v>46138.52570115741</v>
      </c>
      <c r="B24" s="31" t="s">
        <v>43</v>
      </c>
      <c r="C24" s="17" t="s">
        <v>76</v>
      </c>
    </row>
    <row r="25">
      <c r="A25" s="33">
        <v>46138.52682392361</v>
      </c>
      <c r="B25" s="31" t="s">
        <v>43</v>
      </c>
      <c r="C25" s="17" t="s">
        <v>77</v>
      </c>
    </row>
    <row r="26">
      <c r="A26" s="33">
        <v>46138.5275990625</v>
      </c>
      <c r="B26" s="31" t="s">
        <v>43</v>
      </c>
      <c r="C26" s="17" t="s">
        <v>78</v>
      </c>
    </row>
    <row r="27">
      <c r="A27" s="33">
        <v>46138.52809040509</v>
      </c>
      <c r="B27" s="35" t="s">
        <v>45</v>
      </c>
      <c r="C27" s="17" t="s">
        <v>79</v>
      </c>
    </row>
    <row r="28">
      <c r="A28" s="33">
        <v>46138.52849560185</v>
      </c>
      <c r="B28" s="35" t="s">
        <v>45</v>
      </c>
      <c r="C28" s="17" t="s">
        <v>80</v>
      </c>
    </row>
    <row r="29">
      <c r="A29" s="33">
        <v>46138.52935460648</v>
      </c>
      <c r="B29" s="35" t="s">
        <v>45</v>
      </c>
      <c r="C29" s="17" t="s">
        <v>81</v>
      </c>
    </row>
    <row r="30">
      <c r="A30" s="33">
        <v>46138.52999502315</v>
      </c>
      <c r="B30" s="35" t="s">
        <v>45</v>
      </c>
      <c r="C30" s="17" t="s">
        <v>82</v>
      </c>
    </row>
    <row r="31">
      <c r="A31" s="33">
        <v>46138.53042552083</v>
      </c>
      <c r="B31" s="35" t="s">
        <v>45</v>
      </c>
      <c r="C31" s="17" t="s">
        <v>83</v>
      </c>
    </row>
    <row r="32">
      <c r="A32" s="33">
        <v>46138.53193334491</v>
      </c>
      <c r="B32" s="35" t="s">
        <v>45</v>
      </c>
      <c r="C32" s="17" t="s">
        <v>84</v>
      </c>
    </row>
    <row r="33">
      <c r="A33" s="33">
        <v>46138.532455636574</v>
      </c>
      <c r="B33" s="35" t="s">
        <v>45</v>
      </c>
      <c r="C33" s="17" t="s">
        <v>85</v>
      </c>
    </row>
    <row r="34">
      <c r="A34" s="33">
        <v>46138.53269609954</v>
      </c>
      <c r="B34" s="35" t="s">
        <v>45</v>
      </c>
      <c r="C34" s="17" t="s">
        <v>86</v>
      </c>
    </row>
    <row r="35">
      <c r="A35" s="33">
        <v>46138.53349047454</v>
      </c>
      <c r="B35" s="31" t="s">
        <v>43</v>
      </c>
      <c r="C35" s="17" t="s">
        <v>87</v>
      </c>
    </row>
    <row r="36">
      <c r="A36" s="33">
        <v>46138.53439168981</v>
      </c>
      <c r="B36" s="31" t="s">
        <v>43</v>
      </c>
      <c r="C36" s="17" t="s">
        <v>88</v>
      </c>
    </row>
    <row r="37">
      <c r="A37" s="33">
        <v>46138.53505792824</v>
      </c>
      <c r="B37" s="31" t="s">
        <v>43</v>
      </c>
      <c r="C37" s="17" t="s">
        <v>89</v>
      </c>
    </row>
    <row r="38">
      <c r="A38" s="33">
        <v>46138.535718530096</v>
      </c>
      <c r="B38" s="31" t="s">
        <v>43</v>
      </c>
      <c r="C38" s="17" t="s">
        <v>90</v>
      </c>
    </row>
    <row r="39">
      <c r="A39" s="33">
        <v>46138.53740503472</v>
      </c>
      <c r="B39" s="31" t="s">
        <v>43</v>
      </c>
      <c r="C39" s="17" t="s">
        <v>91</v>
      </c>
    </row>
    <row r="40">
      <c r="A40" s="33">
        <v>46138.538614942125</v>
      </c>
      <c r="B40" s="31" t="s">
        <v>43</v>
      </c>
      <c r="C40" s="17" t="s">
        <v>92</v>
      </c>
    </row>
    <row r="41">
      <c r="A41" s="33">
        <v>46138.539372893516</v>
      </c>
      <c r="B41" s="31" t="s">
        <v>43</v>
      </c>
      <c r="C41" s="17" t="s">
        <v>93</v>
      </c>
    </row>
    <row r="42">
      <c r="A42" s="33">
        <v>46138.53972516204</v>
      </c>
      <c r="B42" s="31" t="s">
        <v>43</v>
      </c>
      <c r="C42" s="17" t="s">
        <v>94</v>
      </c>
    </row>
    <row r="43">
      <c r="A43" s="33">
        <v>46138.54075167824</v>
      </c>
      <c r="B43" s="31" t="s">
        <v>43</v>
      </c>
      <c r="C43" s="17" t="s">
        <v>95</v>
      </c>
    </row>
    <row r="44">
      <c r="A44" s="33">
        <v>46138.541262060186</v>
      </c>
      <c r="B44" s="31" t="s">
        <v>43</v>
      </c>
      <c r="C44" s="17" t="s">
        <v>96</v>
      </c>
    </row>
    <row r="45">
      <c r="A45" s="33">
        <v>46138.54170295139</v>
      </c>
      <c r="B45" s="31" t="s">
        <v>43</v>
      </c>
      <c r="C45" s="17" t="s">
        <v>97</v>
      </c>
    </row>
    <row r="46">
      <c r="A46" s="33">
        <v>46138.542351365744</v>
      </c>
      <c r="B46" s="31" t="s">
        <v>43</v>
      </c>
      <c r="C46" s="17" t="s">
        <v>98</v>
      </c>
    </row>
    <row r="47">
      <c r="A47" s="33">
        <v>46138.54274533565</v>
      </c>
      <c r="B47" s="31" t="s">
        <v>43</v>
      </c>
      <c r="C47" s="17" t="s">
        <v>99</v>
      </c>
    </row>
    <row r="48">
      <c r="A48" s="33">
        <v>46138.54295200232</v>
      </c>
      <c r="B48" s="31" t="s">
        <v>43</v>
      </c>
      <c r="C48" s="17" t="s">
        <v>100</v>
      </c>
    </row>
    <row r="49">
      <c r="A49" s="33">
        <v>46138.54350009259</v>
      </c>
      <c r="B49" s="31" t="s">
        <v>43</v>
      </c>
      <c r="C49" s="17" t="s">
        <v>101</v>
      </c>
    </row>
    <row r="50">
      <c r="A50" s="33">
        <v>46138.54397709491</v>
      </c>
      <c r="B50" s="31" t="s">
        <v>43</v>
      </c>
      <c r="C50" s="17" t="s">
        <v>102</v>
      </c>
    </row>
    <row r="51">
      <c r="A51" s="33">
        <v>46138.544481516205</v>
      </c>
      <c r="B51" s="31" t="s">
        <v>43</v>
      </c>
      <c r="C51" s="17" t="s">
        <v>103</v>
      </c>
    </row>
    <row r="52">
      <c r="A52" s="33">
        <v>46138.54524063657</v>
      </c>
      <c r="B52" s="31" t="s">
        <v>43</v>
      </c>
      <c r="C52" s="17" t="s">
        <v>104</v>
      </c>
    </row>
    <row r="53">
      <c r="A53" s="33">
        <v>46138.5461291088</v>
      </c>
      <c r="B53" s="31" t="s">
        <v>43</v>
      </c>
      <c r="C53" s="17" t="s">
        <v>105</v>
      </c>
    </row>
    <row r="54">
      <c r="A54" s="33">
        <v>46138.54696127315</v>
      </c>
      <c r="B54" s="31" t="s">
        <v>43</v>
      </c>
      <c r="C54" s="17" t="s">
        <v>106</v>
      </c>
    </row>
    <row r="55">
      <c r="A55" s="33">
        <v>46138.5477592824</v>
      </c>
      <c r="B55" s="31" t="s">
        <v>43</v>
      </c>
      <c r="C55" s="17" t="s">
        <v>107</v>
      </c>
    </row>
    <row r="56">
      <c r="A56" s="33">
        <v>46138.54825961805</v>
      </c>
      <c r="B56" s="31" t="s">
        <v>52</v>
      </c>
      <c r="C56" s="17" t="s">
        <v>108</v>
      </c>
    </row>
    <row r="57">
      <c r="A57" s="33">
        <v>46138.54910184028</v>
      </c>
      <c r="B57" s="31" t="s">
        <v>43</v>
      </c>
      <c r="C57" s="17" t="s">
        <v>109</v>
      </c>
    </row>
    <row r="58">
      <c r="A58" s="33">
        <v>46138.54949152778</v>
      </c>
      <c r="B58" s="31" t="s">
        <v>43</v>
      </c>
      <c r="C58" s="17" t="s">
        <v>110</v>
      </c>
    </row>
    <row r="59">
      <c r="A59" s="33">
        <v>46138.549827951385</v>
      </c>
      <c r="B59" s="31" t="s">
        <v>43</v>
      </c>
      <c r="C59" s="17" t="s">
        <v>111</v>
      </c>
    </row>
    <row r="60">
      <c r="A60" s="33">
        <v>46138.55085159722</v>
      </c>
      <c r="B60" s="31" t="s">
        <v>58</v>
      </c>
      <c r="C60" s="17" t="s">
        <v>112</v>
      </c>
    </row>
    <row r="61">
      <c r="A61" s="33">
        <v>46138.55167335648</v>
      </c>
      <c r="B61" s="31" t="s">
        <v>43</v>
      </c>
      <c r="C61" s="17" t="s">
        <v>113</v>
      </c>
    </row>
    <row r="62">
      <c r="A62" s="33">
        <v>46138.55218021991</v>
      </c>
      <c r="B62" s="31" t="s">
        <v>43</v>
      </c>
      <c r="C62" s="17" t="s">
        <v>114</v>
      </c>
    </row>
    <row r="63">
      <c r="A63" s="33">
        <v>46138.552792511575</v>
      </c>
      <c r="B63" s="34" t="s">
        <v>47</v>
      </c>
      <c r="C63" s="17" t="s">
        <v>115</v>
      </c>
    </row>
    <row r="64">
      <c r="A64" s="33">
        <v>46138.55339459491</v>
      </c>
      <c r="B64" s="31" t="s">
        <v>43</v>
      </c>
      <c r="C64" s="17" t="s">
        <v>116</v>
      </c>
    </row>
    <row r="65">
      <c r="A65" s="33">
        <v>46138.553839479166</v>
      </c>
      <c r="B65" s="31" t="s">
        <v>43</v>
      </c>
      <c r="C65" s="17" t="s">
        <v>117</v>
      </c>
    </row>
    <row r="66">
      <c r="A66" s="33">
        <v>46138.554464456014</v>
      </c>
      <c r="B66" s="31" t="s">
        <v>43</v>
      </c>
      <c r="C66" s="17" t="s">
        <v>118</v>
      </c>
    </row>
    <row r="67">
      <c r="A67" s="33">
        <v>46138.554860081014</v>
      </c>
      <c r="B67" s="31" t="s">
        <v>43</v>
      </c>
      <c r="C67" s="17" t="s">
        <v>88</v>
      </c>
    </row>
    <row r="68">
      <c r="A68" s="33">
        <v>46138.55501991898</v>
      </c>
      <c r="B68" s="31" t="s">
        <v>43</v>
      </c>
      <c r="C68" s="17" t="s">
        <v>119</v>
      </c>
    </row>
    <row r="69">
      <c r="A69" s="33">
        <v>46138.55547131944</v>
      </c>
      <c r="B69" s="31" t="s">
        <v>43</v>
      </c>
      <c r="C69" s="17" t="s">
        <v>120</v>
      </c>
    </row>
    <row r="70">
      <c r="A70" s="33">
        <v>46138.555929050926</v>
      </c>
      <c r="B70" s="31" t="s">
        <v>43</v>
      </c>
      <c r="C70" s="17" t="s">
        <v>121</v>
      </c>
    </row>
    <row r="71">
      <c r="A71" s="33">
        <v>46138.5561940162</v>
      </c>
      <c r="B71" s="31" t="s">
        <v>43</v>
      </c>
      <c r="C71" s="17" t="s">
        <v>89</v>
      </c>
    </row>
    <row r="72">
      <c r="A72" s="33">
        <v>46138.556270960646</v>
      </c>
      <c r="B72" s="31" t="s">
        <v>43</v>
      </c>
      <c r="C72" s="17" t="s">
        <v>122</v>
      </c>
    </row>
    <row r="73">
      <c r="A73" s="33">
        <v>46138.55689662037</v>
      </c>
      <c r="B73" s="31" t="s">
        <v>43</v>
      </c>
      <c r="C73" s="17" t="s">
        <v>123</v>
      </c>
    </row>
    <row r="74">
      <c r="A74" s="33">
        <v>46138.557157442134</v>
      </c>
      <c r="B74" s="31" t="s">
        <v>43</v>
      </c>
      <c r="C74" s="17" t="s">
        <v>124</v>
      </c>
    </row>
    <row r="75">
      <c r="A75" s="33">
        <v>46138.557809502316</v>
      </c>
      <c r="B75" s="31" t="s">
        <v>43</v>
      </c>
      <c r="C75" s="17" t="s">
        <v>125</v>
      </c>
    </row>
    <row r="76">
      <c r="A76" s="33">
        <v>46138.55846461805</v>
      </c>
      <c r="B76" s="31" t="s">
        <v>43</v>
      </c>
      <c r="C76" s="17" t="s">
        <v>126</v>
      </c>
    </row>
    <row r="77">
      <c r="A77" s="33">
        <v>46138.55884525463</v>
      </c>
      <c r="B77" s="31" t="s">
        <v>43</v>
      </c>
      <c r="C77" s="17" t="s">
        <v>127</v>
      </c>
    </row>
    <row r="78">
      <c r="A78" s="33">
        <v>46138.55930284722</v>
      </c>
      <c r="B78" s="31" t="s">
        <v>43</v>
      </c>
      <c r="C78" s="17" t="s">
        <v>128</v>
      </c>
    </row>
    <row r="79">
      <c r="A79" s="33">
        <v>46138.55976091435</v>
      </c>
      <c r="B79" s="31" t="s">
        <v>43</v>
      </c>
      <c r="C79" s="17" t="s">
        <v>129</v>
      </c>
    </row>
    <row r="80">
      <c r="A80" s="33">
        <v>46138.56070202547</v>
      </c>
      <c r="B80" s="31" t="s">
        <v>43</v>
      </c>
      <c r="C80" s="17" t="s">
        <v>130</v>
      </c>
    </row>
    <row r="81">
      <c r="A81" s="33">
        <v>46138.560988240744</v>
      </c>
      <c r="B81" s="31" t="s">
        <v>43</v>
      </c>
      <c r="C81" s="17" t="s">
        <v>131</v>
      </c>
    </row>
    <row r="82">
      <c r="A82" s="33">
        <v>46138.5612316551</v>
      </c>
      <c r="B82" s="31" t="s">
        <v>43</v>
      </c>
      <c r="C82" s="17" t="s">
        <v>132</v>
      </c>
    </row>
    <row r="83">
      <c r="A83" s="33">
        <v>46138.561623368056</v>
      </c>
      <c r="B83" s="31" t="s">
        <v>52</v>
      </c>
      <c r="C83" s="17" t="s">
        <v>133</v>
      </c>
    </row>
    <row r="84">
      <c r="A84" s="33">
        <v>46138.56244150463</v>
      </c>
      <c r="B84" s="31" t="s">
        <v>43</v>
      </c>
      <c r="C84" s="17" t="s">
        <v>134</v>
      </c>
    </row>
    <row r="85">
      <c r="A85" s="33">
        <v>46138.564030787034</v>
      </c>
      <c r="B85" s="31" t="s">
        <v>43</v>
      </c>
      <c r="C85" s="17" t="s">
        <v>135</v>
      </c>
    </row>
    <row r="86">
      <c r="A86" s="33">
        <v>46138.5649362963</v>
      </c>
      <c r="B86" s="31" t="s">
        <v>43</v>
      </c>
      <c r="C86" s="17" t="s">
        <v>136</v>
      </c>
    </row>
    <row r="87">
      <c r="A87" s="33">
        <v>46138.565663009256</v>
      </c>
      <c r="B87" s="31" t="s">
        <v>52</v>
      </c>
      <c r="C87" s="17" t="s">
        <v>137</v>
      </c>
    </row>
    <row r="88">
      <c r="A88" s="33">
        <v>46138.56591127315</v>
      </c>
      <c r="B88" s="31" t="s">
        <v>52</v>
      </c>
      <c r="C88" s="17" t="s">
        <v>138</v>
      </c>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sheetData>
  <dataValidations>
    <dataValidation type="list" allowBlank="1" sqref="B18:B1001">
      <formula1>'Antonio Hus'!$K$1:$K$9</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46138.58174400463</v>
      </c>
      <c r="B1" s="27" t="s">
        <v>41</v>
      </c>
      <c r="C1" s="28">
        <v>55.7993</v>
      </c>
      <c r="J1" s="17" t="s">
        <v>42</v>
      </c>
      <c r="K1" s="17" t="s">
        <v>43</v>
      </c>
    </row>
    <row r="2">
      <c r="A2" s="26">
        <v>46138.58174405093</v>
      </c>
      <c r="B2" s="27" t="s">
        <v>44</v>
      </c>
      <c r="C2" s="29">
        <f> COUNTIF(B:B, "Bug")</f>
        <v>1</v>
      </c>
      <c r="K2" s="17" t="s">
        <v>45</v>
      </c>
    </row>
    <row r="3">
      <c r="A3" s="26">
        <v>46138.58174409722</v>
      </c>
      <c r="B3" s="27" t="s">
        <v>46</v>
      </c>
      <c r="C3" s="29">
        <f> COUNTIF(B:B, "Bug OffCharter")</f>
        <v>0</v>
      </c>
      <c r="K3" s="17" t="s">
        <v>47</v>
      </c>
    </row>
    <row r="4">
      <c r="A4" s="26">
        <v>46138.581744131945</v>
      </c>
      <c r="B4" s="27" t="s">
        <v>48</v>
      </c>
      <c r="C4" s="28">
        <v>53.26533333333333</v>
      </c>
      <c r="K4" s="17" t="s">
        <v>49</v>
      </c>
    </row>
    <row r="5">
      <c r="A5" s="26">
        <v>46138.58174415509</v>
      </c>
      <c r="B5" s="27" t="s">
        <v>50</v>
      </c>
      <c r="C5" s="28">
        <v>1.8370833333333332</v>
      </c>
      <c r="J5" s="17" t="s">
        <v>51</v>
      </c>
      <c r="K5" s="17" t="s">
        <v>52</v>
      </c>
    </row>
    <row r="6">
      <c r="A6" s="26">
        <v>46138.58174418981</v>
      </c>
      <c r="B6" s="27" t="s">
        <v>53</v>
      </c>
      <c r="C6" s="28">
        <v>0.6959666666666667</v>
      </c>
      <c r="J6" s="30"/>
      <c r="K6" s="17" t="s">
        <v>54</v>
      </c>
    </row>
    <row r="7">
      <c r="A7" s="26">
        <v>46138.581744236115</v>
      </c>
      <c r="B7" s="27" t="s">
        <v>55</v>
      </c>
      <c r="C7" s="28">
        <v>0.0</v>
      </c>
      <c r="K7" s="17" t="s">
        <v>56</v>
      </c>
    </row>
    <row r="8">
      <c r="A8" s="26">
        <v>46138.581744282405</v>
      </c>
      <c r="B8" s="27" t="s">
        <v>57</v>
      </c>
      <c r="C8" s="29">
        <f> COUNTIF(B:B, "Question")</f>
        <v>0</v>
      </c>
      <c r="K8" s="17" t="s">
        <v>58</v>
      </c>
    </row>
    <row r="9">
      <c r="A9" s="26">
        <v>46138.58174436343</v>
      </c>
      <c r="B9" s="27" t="s">
        <v>59</v>
      </c>
      <c r="C9" s="29">
        <f> COUNTIF(B:B, "NextTime")</f>
        <v>0</v>
      </c>
      <c r="K9" s="17" t="s">
        <v>60</v>
      </c>
    </row>
    <row r="10">
      <c r="A10" s="26">
        <v>46138.58174439815</v>
      </c>
      <c r="B10" s="17" t="s">
        <v>61</v>
      </c>
      <c r="C10" s="17" t="s">
        <v>32</v>
      </c>
    </row>
    <row r="11">
      <c r="A11" s="26">
        <v>46138.58174443287</v>
      </c>
      <c r="B11" s="17" t="s">
        <v>62</v>
      </c>
      <c r="C11" s="17" t="s">
        <v>31</v>
      </c>
    </row>
    <row r="12">
      <c r="A12" s="26">
        <v>46138.58174446759</v>
      </c>
      <c r="B12" s="17" t="s">
        <v>63</v>
      </c>
      <c r="C12" s="17">
        <v>60.0</v>
      </c>
    </row>
    <row r="13">
      <c r="A13" s="26">
        <v>46138.58174450231</v>
      </c>
      <c r="B13" s="17" t="s">
        <v>64</v>
      </c>
      <c r="C13" s="17" t="s">
        <v>139</v>
      </c>
    </row>
    <row r="14">
      <c r="A14" s="26">
        <v>46138.581744525465</v>
      </c>
      <c r="B14" s="17" t="s">
        <v>18</v>
      </c>
      <c r="C14" s="30"/>
    </row>
    <row r="15">
      <c r="A15" s="26">
        <v>46138.581744560186</v>
      </c>
      <c r="B15" s="17" t="s">
        <v>66</v>
      </c>
      <c r="C15" s="34" t="s">
        <v>47</v>
      </c>
    </row>
    <row r="16">
      <c r="A16" s="26">
        <v>46138.58174458334</v>
      </c>
      <c r="B16" s="17" t="s">
        <v>67</v>
      </c>
      <c r="C16" s="15">
        <v>4.200699999999998</v>
      </c>
    </row>
    <row r="17">
      <c r="A17" s="26">
        <v>46138.58174461806</v>
      </c>
      <c r="B17" s="17" t="s">
        <v>68</v>
      </c>
      <c r="C17" s="32" t="s">
        <v>69</v>
      </c>
    </row>
    <row r="18">
      <c r="A18" s="33">
        <v>46138.581744641204</v>
      </c>
      <c r="B18" s="34" t="s">
        <v>47</v>
      </c>
      <c r="C18" s="17" t="s">
        <v>70</v>
      </c>
      <c r="D18" s="30"/>
    </row>
    <row r="19">
      <c r="A19" s="33">
        <v>46138.58258021991</v>
      </c>
      <c r="B19" s="34" t="s">
        <v>47</v>
      </c>
      <c r="C19" s="17" t="s">
        <v>140</v>
      </c>
    </row>
    <row r="20">
      <c r="A20" s="33">
        <v>46138.58302039352</v>
      </c>
      <c r="B20" s="31" t="s">
        <v>43</v>
      </c>
      <c r="C20" s="17" t="s">
        <v>141</v>
      </c>
    </row>
    <row r="21">
      <c r="A21" s="33">
        <v>46138.58399621528</v>
      </c>
      <c r="B21" s="31" t="s">
        <v>58</v>
      </c>
      <c r="C21" s="17" t="s">
        <v>142</v>
      </c>
    </row>
    <row r="22">
      <c r="A22" s="33">
        <v>46138.584738125</v>
      </c>
      <c r="B22" s="31" t="s">
        <v>43</v>
      </c>
      <c r="C22" s="17" t="s">
        <v>143</v>
      </c>
    </row>
    <row r="23">
      <c r="A23" s="33">
        <v>46138.58541373843</v>
      </c>
      <c r="B23" s="31" t="s">
        <v>43</v>
      </c>
      <c r="C23" s="17" t="s">
        <v>144</v>
      </c>
    </row>
    <row r="24">
      <c r="A24" s="33">
        <v>46138.58619739584</v>
      </c>
      <c r="B24" s="31" t="s">
        <v>43</v>
      </c>
      <c r="C24" s="17" t="s">
        <v>145</v>
      </c>
    </row>
    <row r="25">
      <c r="A25" s="33">
        <v>46138.58717982639</v>
      </c>
      <c r="B25" s="31" t="s">
        <v>43</v>
      </c>
      <c r="C25" s="17" t="s">
        <v>146</v>
      </c>
    </row>
    <row r="26">
      <c r="A26" s="33">
        <v>46138.58782961806</v>
      </c>
      <c r="B26" s="31" t="s">
        <v>43</v>
      </c>
      <c r="C26" s="17" t="s">
        <v>147</v>
      </c>
    </row>
    <row r="27">
      <c r="A27" s="33">
        <v>46138.58933899306</v>
      </c>
      <c r="B27" s="31" t="s">
        <v>43</v>
      </c>
      <c r="C27" s="17" t="s">
        <v>148</v>
      </c>
    </row>
    <row r="28">
      <c r="A28" s="33">
        <v>46138.59110585648</v>
      </c>
      <c r="B28" s="31" t="s">
        <v>43</v>
      </c>
      <c r="C28" s="17" t="s">
        <v>149</v>
      </c>
    </row>
    <row r="29">
      <c r="A29" s="33">
        <v>46138.59192201389</v>
      </c>
      <c r="B29" s="31" t="s">
        <v>43</v>
      </c>
      <c r="C29" s="17" t="s">
        <v>150</v>
      </c>
    </row>
    <row r="30">
      <c r="A30" s="33">
        <v>46138.59209744213</v>
      </c>
      <c r="B30" s="31" t="s">
        <v>43</v>
      </c>
      <c r="C30" s="17" t="s">
        <v>151</v>
      </c>
    </row>
    <row r="31">
      <c r="A31" s="33">
        <v>46138.59221112268</v>
      </c>
      <c r="B31" s="31" t="s">
        <v>43</v>
      </c>
      <c r="C31" s="17" t="s">
        <v>152</v>
      </c>
    </row>
    <row r="32">
      <c r="A32" s="33">
        <v>46138.59230603009</v>
      </c>
      <c r="B32" s="31" t="s">
        <v>43</v>
      </c>
      <c r="C32" s="17" t="s">
        <v>153</v>
      </c>
    </row>
    <row r="33">
      <c r="A33" s="33">
        <v>46138.59319487269</v>
      </c>
      <c r="B33" s="31" t="s">
        <v>43</v>
      </c>
      <c r="C33" s="17" t="s">
        <v>154</v>
      </c>
    </row>
    <row r="34">
      <c r="A34" s="33">
        <v>46138.59471356482</v>
      </c>
      <c r="B34" s="31" t="s">
        <v>58</v>
      </c>
      <c r="C34" s="17" t="s">
        <v>155</v>
      </c>
    </row>
    <row r="35">
      <c r="A35" s="33">
        <v>46138.59568804398</v>
      </c>
      <c r="B35" s="31" t="s">
        <v>43</v>
      </c>
      <c r="C35" s="17" t="s">
        <v>156</v>
      </c>
    </row>
    <row r="36">
      <c r="A36" s="33">
        <v>46138.596458622684</v>
      </c>
      <c r="B36" s="31" t="s">
        <v>43</v>
      </c>
      <c r="C36" s="17" t="s">
        <v>157</v>
      </c>
    </row>
    <row r="37">
      <c r="A37" s="33">
        <v>46138.59722414352</v>
      </c>
      <c r="B37" s="31" t="s">
        <v>43</v>
      </c>
      <c r="C37" s="17" t="s">
        <v>158</v>
      </c>
    </row>
    <row r="38">
      <c r="A38" s="33">
        <v>46138.59908152778</v>
      </c>
      <c r="B38" s="31" t="s">
        <v>43</v>
      </c>
      <c r="C38" s="17" t="s">
        <v>159</v>
      </c>
    </row>
    <row r="39">
      <c r="A39" s="33">
        <v>46138.599713310185</v>
      </c>
      <c r="B39" s="31" t="s">
        <v>43</v>
      </c>
      <c r="C39" s="17" t="s">
        <v>160</v>
      </c>
    </row>
    <row r="40">
      <c r="A40" s="33">
        <v>46138.60060622686</v>
      </c>
      <c r="B40" s="31" t="s">
        <v>43</v>
      </c>
      <c r="C40" s="17" t="s">
        <v>161</v>
      </c>
    </row>
    <row r="41">
      <c r="A41" s="33">
        <v>46138.60091738426</v>
      </c>
      <c r="B41" s="31" t="s">
        <v>43</v>
      </c>
      <c r="C41" s="17" t="s">
        <v>162</v>
      </c>
    </row>
    <row r="42">
      <c r="A42" s="33">
        <v>46138.601222094905</v>
      </c>
      <c r="B42" s="31" t="s">
        <v>43</v>
      </c>
      <c r="C42" s="17" t="s">
        <v>163</v>
      </c>
    </row>
    <row r="43">
      <c r="A43" s="33">
        <v>46138.60198412037</v>
      </c>
      <c r="B43" s="31" t="s">
        <v>43</v>
      </c>
      <c r="C43" s="17" t="s">
        <v>164</v>
      </c>
    </row>
    <row r="44">
      <c r="A44" s="33">
        <v>46138.60280995371</v>
      </c>
      <c r="B44" s="31" t="s">
        <v>43</v>
      </c>
      <c r="C44" s="17" t="s">
        <v>165</v>
      </c>
    </row>
    <row r="45">
      <c r="A45" s="33">
        <v>46138.60371887732</v>
      </c>
      <c r="B45" s="31" t="s">
        <v>43</v>
      </c>
      <c r="C45" s="17" t="s">
        <v>166</v>
      </c>
    </row>
    <row r="46">
      <c r="A46" s="33">
        <v>46138.61070625</v>
      </c>
      <c r="B46" s="31" t="s">
        <v>43</v>
      </c>
      <c r="C46" s="17" t="s">
        <v>167</v>
      </c>
    </row>
    <row r="47">
      <c r="A47" s="33">
        <v>46138.605219363424</v>
      </c>
      <c r="B47" s="31" t="s">
        <v>43</v>
      </c>
      <c r="C47" s="17" t="s">
        <v>168</v>
      </c>
    </row>
    <row r="48">
      <c r="A48" s="33">
        <v>46138.60622618056</v>
      </c>
      <c r="B48" s="35" t="s">
        <v>45</v>
      </c>
      <c r="C48" s="17" t="s">
        <v>169</v>
      </c>
    </row>
    <row r="49">
      <c r="A49" s="33">
        <v>46138.60670949074</v>
      </c>
      <c r="B49" s="31" t="s">
        <v>43</v>
      </c>
      <c r="C49" s="17" t="s">
        <v>170</v>
      </c>
    </row>
    <row r="50">
      <c r="A50" s="33">
        <v>46138.60861221065</v>
      </c>
      <c r="B50" s="31" t="s">
        <v>43</v>
      </c>
      <c r="C50" s="17" t="s">
        <v>171</v>
      </c>
    </row>
    <row r="51">
      <c r="A51" s="33">
        <v>46138.61015813657</v>
      </c>
      <c r="B51" s="31" t="s">
        <v>43</v>
      </c>
      <c r="C51" s="17" t="s">
        <v>172</v>
      </c>
    </row>
    <row r="52">
      <c r="A52" s="33">
        <v>46138.61171863426</v>
      </c>
      <c r="B52" s="31" t="s">
        <v>43</v>
      </c>
      <c r="C52" s="17" t="s">
        <v>173</v>
      </c>
    </row>
    <row r="53">
      <c r="A53" s="33">
        <v>46138.61266513889</v>
      </c>
      <c r="B53" s="31" t="s">
        <v>43</v>
      </c>
      <c r="C53" s="17" t="s">
        <v>174</v>
      </c>
    </row>
    <row r="54">
      <c r="A54" s="33">
        <v>46138.612993946765</v>
      </c>
      <c r="B54" s="31" t="s">
        <v>43</v>
      </c>
      <c r="C54" s="17" t="s">
        <v>175</v>
      </c>
    </row>
    <row r="55">
      <c r="A55" s="33">
        <v>46138.61416653935</v>
      </c>
      <c r="B55" s="31" t="s">
        <v>43</v>
      </c>
      <c r="C55" s="17" t="s">
        <v>176</v>
      </c>
    </row>
    <row r="56">
      <c r="A56" s="33">
        <v>46138.61455258101</v>
      </c>
      <c r="B56" s="31" t="s">
        <v>43</v>
      </c>
      <c r="C56" s="17" t="s">
        <v>177</v>
      </c>
    </row>
    <row r="57">
      <c r="A57" s="33">
        <v>46138.61473479167</v>
      </c>
      <c r="B57" s="31" t="s">
        <v>43</v>
      </c>
      <c r="C57" s="17" t="s">
        <v>178</v>
      </c>
    </row>
    <row r="58">
      <c r="A58" s="33">
        <v>46138.61484603009</v>
      </c>
      <c r="B58" s="31" t="s">
        <v>43</v>
      </c>
      <c r="C58" s="17" t="s">
        <v>179</v>
      </c>
    </row>
    <row r="59">
      <c r="A59" s="33">
        <v>46138.61570386574</v>
      </c>
      <c r="B59" s="31" t="s">
        <v>43</v>
      </c>
      <c r="C59" s="17" t="s">
        <v>180</v>
      </c>
    </row>
    <row r="60">
      <c r="A60" s="33">
        <v>46138.61605341436</v>
      </c>
      <c r="B60" s="31" t="s">
        <v>43</v>
      </c>
      <c r="C60" s="17" t="s">
        <v>181</v>
      </c>
    </row>
    <row r="61">
      <c r="A61" s="33">
        <v>46138.616402326385</v>
      </c>
      <c r="B61" s="31" t="s">
        <v>43</v>
      </c>
      <c r="C61" s="17" t="s">
        <v>182</v>
      </c>
    </row>
    <row r="62">
      <c r="A62" s="33">
        <v>46138.61662855324</v>
      </c>
      <c r="B62" s="31" t="s">
        <v>43</v>
      </c>
      <c r="C62" s="17" t="s">
        <v>183</v>
      </c>
    </row>
    <row r="63">
      <c r="A63" s="33">
        <v>46138.61778119213</v>
      </c>
      <c r="B63" s="31" t="s">
        <v>43</v>
      </c>
      <c r="C63" s="17" t="s">
        <v>184</v>
      </c>
    </row>
    <row r="64">
      <c r="A64" s="33">
        <v>46138.61917310185</v>
      </c>
      <c r="B64" s="31" t="s">
        <v>52</v>
      </c>
      <c r="C64" s="17" t="s">
        <v>185</v>
      </c>
    </row>
    <row r="65">
      <c r="A65" s="33">
        <v>46138.61846295139</v>
      </c>
      <c r="B65" s="31" t="s">
        <v>43</v>
      </c>
      <c r="C65" s="17" t="s">
        <v>186</v>
      </c>
    </row>
    <row r="66">
      <c r="A66" s="33">
        <v>46138.6190068287</v>
      </c>
      <c r="B66" s="31" t="s">
        <v>43</v>
      </c>
      <c r="C66" s="17" t="s">
        <v>187</v>
      </c>
    </row>
    <row r="67">
      <c r="A67" s="33">
        <v>46138.62049351852</v>
      </c>
      <c r="B67" s="34" t="s">
        <v>47</v>
      </c>
      <c r="C67" s="17" t="s">
        <v>188</v>
      </c>
    </row>
    <row r="68">
      <c r="A68" s="37"/>
      <c r="B68" s="30"/>
      <c r="C68" s="30"/>
    </row>
    <row r="69">
      <c r="A69" s="37"/>
      <c r="B69" s="30"/>
      <c r="C69" s="30"/>
    </row>
    <row r="70">
      <c r="A70" s="37"/>
      <c r="B70" s="30"/>
      <c r="C70" s="30"/>
    </row>
    <row r="71">
      <c r="A71" s="37"/>
      <c r="B71" s="30"/>
      <c r="C71" s="30"/>
    </row>
    <row r="72">
      <c r="A72" s="37"/>
      <c r="B72" s="30"/>
      <c r="C72" s="30"/>
    </row>
    <row r="73">
      <c r="A73" s="37"/>
      <c r="B73" s="30"/>
      <c r="C73" s="30"/>
    </row>
    <row r="74">
      <c r="A74" s="37"/>
      <c r="B74" s="30"/>
      <c r="C74" s="30"/>
    </row>
    <row r="75">
      <c r="A75" s="37"/>
      <c r="B75" s="30"/>
      <c r="C75" s="30"/>
    </row>
    <row r="76">
      <c r="A76" s="37"/>
      <c r="B76" s="30"/>
      <c r="C76" s="30"/>
    </row>
    <row r="77">
      <c r="A77" s="37"/>
      <c r="B77" s="30"/>
      <c r="C77" s="30"/>
    </row>
    <row r="78">
      <c r="A78" s="37"/>
      <c r="B78" s="30"/>
      <c r="C78" s="30"/>
    </row>
    <row r="79">
      <c r="A79" s="37"/>
      <c r="B79" s="30"/>
      <c r="C79" s="30"/>
    </row>
    <row r="80">
      <c r="A80" s="37"/>
      <c r="B80" s="30"/>
      <c r="C80" s="30"/>
    </row>
    <row r="81">
      <c r="A81" s="37"/>
      <c r="B81" s="30"/>
      <c r="C81" s="30"/>
    </row>
    <row r="82">
      <c r="A82" s="37"/>
      <c r="B82" s="30"/>
      <c r="C82" s="30"/>
    </row>
    <row r="83">
      <c r="A83" s="37"/>
      <c r="B83" s="30"/>
      <c r="C83" s="30"/>
    </row>
    <row r="84">
      <c r="A84" s="37"/>
      <c r="B84" s="30"/>
      <c r="C84" s="30"/>
    </row>
    <row r="85">
      <c r="A85" s="37"/>
      <c r="B85" s="30"/>
      <c r="C85" s="30"/>
    </row>
    <row r="86">
      <c r="A86" s="37"/>
      <c r="B86" s="30"/>
      <c r="C86" s="30"/>
    </row>
    <row r="87">
      <c r="A87" s="37"/>
      <c r="B87" s="30"/>
      <c r="C87" s="30"/>
    </row>
    <row r="88">
      <c r="A88" s="37"/>
      <c r="B88" s="30"/>
      <c r="C88" s="30"/>
    </row>
    <row r="89">
      <c r="A89" s="37"/>
      <c r="B89" s="30"/>
      <c r="C89" s="30"/>
    </row>
    <row r="90">
      <c r="A90" s="37"/>
      <c r="B90" s="30"/>
      <c r="C90" s="30"/>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sheetData>
  <dataValidations>
    <dataValidation type="list" allowBlank="1" sqref="B18:B1003">
      <formula1>'Ariana Ilieș'!$K$1:$K$9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6.38"/>
    <col customWidth="1" min="2" max="2" width="22.63"/>
    <col customWidth="1" min="3" max="3" width="87.63"/>
  </cols>
  <sheetData>
    <row r="1">
      <c r="A1" s="26">
        <v>46139.84322222222</v>
      </c>
      <c r="B1" s="27" t="s">
        <v>41</v>
      </c>
      <c r="C1" s="28">
        <v>59.04315</v>
      </c>
      <c r="J1" s="17" t="s">
        <v>42</v>
      </c>
      <c r="K1" s="17" t="s">
        <v>43</v>
      </c>
    </row>
    <row r="2">
      <c r="A2" s="26">
        <v>46139.84322225694</v>
      </c>
      <c r="B2" s="27" t="s">
        <v>44</v>
      </c>
      <c r="C2" s="29">
        <f> COUNTIF(B:B, "Bug")</f>
        <v>6</v>
      </c>
      <c r="K2" s="17" t="s">
        <v>45</v>
      </c>
    </row>
    <row r="3">
      <c r="A3" s="26">
        <v>46139.84322229167</v>
      </c>
      <c r="B3" s="27" t="s">
        <v>46</v>
      </c>
      <c r="C3" s="29">
        <f> COUNTIF(B:B, "Bug OffCharter")</f>
        <v>0</v>
      </c>
      <c r="K3" s="17" t="s">
        <v>47</v>
      </c>
    </row>
    <row r="4">
      <c r="A4" s="26">
        <v>46139.84322232639</v>
      </c>
      <c r="B4" s="27" t="s">
        <v>48</v>
      </c>
      <c r="C4" s="28">
        <v>46.967299999999994</v>
      </c>
      <c r="K4" s="17" t="s">
        <v>49</v>
      </c>
    </row>
    <row r="5">
      <c r="A5" s="26">
        <v>46139.843222361116</v>
      </c>
      <c r="B5" s="27" t="s">
        <v>50</v>
      </c>
      <c r="C5" s="28">
        <v>2.206316666666667</v>
      </c>
      <c r="J5" s="17" t="s">
        <v>51</v>
      </c>
      <c r="K5" s="17" t="s">
        <v>52</v>
      </c>
    </row>
    <row r="6">
      <c r="A6" s="26">
        <v>46139.84322239584</v>
      </c>
      <c r="B6" s="27" t="s">
        <v>53</v>
      </c>
      <c r="C6" s="28">
        <v>9.86875</v>
      </c>
      <c r="J6" s="30"/>
      <c r="K6" s="17" t="s">
        <v>54</v>
      </c>
    </row>
    <row r="7">
      <c r="A7" s="26">
        <v>46139.84322243056</v>
      </c>
      <c r="B7" s="27" t="s">
        <v>55</v>
      </c>
      <c r="C7" s="28">
        <v>0.0</v>
      </c>
      <c r="K7" s="17" t="s">
        <v>56</v>
      </c>
    </row>
    <row r="8">
      <c r="A8" s="26">
        <v>46139.8432224537</v>
      </c>
      <c r="B8" s="27" t="s">
        <v>57</v>
      </c>
      <c r="C8" s="29">
        <f> COUNTIF(B:B, "Question")</f>
        <v>3</v>
      </c>
      <c r="K8" s="17" t="s">
        <v>58</v>
      </c>
    </row>
    <row r="9">
      <c r="A9" s="26">
        <v>46139.843222511576</v>
      </c>
      <c r="B9" s="27" t="s">
        <v>59</v>
      </c>
      <c r="C9" s="29">
        <f> COUNTIF(B:B, "NextTime")</f>
        <v>0</v>
      </c>
      <c r="K9" s="17" t="s">
        <v>60</v>
      </c>
    </row>
    <row r="10">
      <c r="A10" s="26">
        <v>46139.8432225463</v>
      </c>
      <c r="B10" s="17" t="s">
        <v>61</v>
      </c>
      <c r="C10" s="17" t="s">
        <v>34</v>
      </c>
    </row>
    <row r="11">
      <c r="A11" s="26">
        <v>46139.84322258102</v>
      </c>
      <c r="B11" s="17" t="s">
        <v>62</v>
      </c>
      <c r="C11" s="17" t="s">
        <v>33</v>
      </c>
    </row>
    <row r="12">
      <c r="A12" s="26">
        <v>46139.84322260416</v>
      </c>
      <c r="B12" s="17" t="s">
        <v>63</v>
      </c>
      <c r="C12" s="17">
        <v>60.0</v>
      </c>
    </row>
    <row r="13">
      <c r="A13" s="26">
        <v>46139.843222627314</v>
      </c>
      <c r="B13" s="17" t="s">
        <v>64</v>
      </c>
      <c r="C13" s="17" t="s">
        <v>189</v>
      </c>
    </row>
    <row r="14">
      <c r="A14" s="26">
        <v>46139.84322265047</v>
      </c>
      <c r="B14" s="17" t="s">
        <v>18</v>
      </c>
      <c r="C14" s="30"/>
    </row>
    <row r="15">
      <c r="A15" s="26">
        <v>46139.84322268519</v>
      </c>
      <c r="B15" s="17" t="s">
        <v>66</v>
      </c>
      <c r="C15" s="31" t="s">
        <v>43</v>
      </c>
    </row>
    <row r="16">
      <c r="A16" s="26">
        <v>46139.84322270833</v>
      </c>
      <c r="B16" s="17" t="s">
        <v>67</v>
      </c>
      <c r="C16" s="15">
        <v>0.9568500000000029</v>
      </c>
    </row>
    <row r="17">
      <c r="A17" s="26">
        <v>46139.84322273148</v>
      </c>
      <c r="B17" s="17" t="s">
        <v>68</v>
      </c>
      <c r="C17" s="32" t="s">
        <v>69</v>
      </c>
    </row>
    <row r="18">
      <c r="A18" s="33">
        <v>46139.843222766205</v>
      </c>
      <c r="B18" s="34" t="s">
        <v>47</v>
      </c>
      <c r="C18" s="17" t="s">
        <v>70</v>
      </c>
      <c r="D18" s="30"/>
    </row>
    <row r="19">
      <c r="A19" s="33">
        <v>46139.84355011574</v>
      </c>
      <c r="B19" s="35" t="s">
        <v>45</v>
      </c>
      <c r="C19" s="17" t="s">
        <v>190</v>
      </c>
    </row>
    <row r="20">
      <c r="A20" s="33">
        <v>46139.84445293981</v>
      </c>
      <c r="B20" s="34" t="s">
        <v>52</v>
      </c>
      <c r="C20" s="17" t="s">
        <v>191</v>
      </c>
    </row>
    <row r="21">
      <c r="A21" s="33">
        <v>46139.844861527774</v>
      </c>
      <c r="B21" s="34" t="s">
        <v>47</v>
      </c>
      <c r="C21" s="17" t="s">
        <v>192</v>
      </c>
    </row>
    <row r="22">
      <c r="A22" s="33">
        <v>46139.84565775463</v>
      </c>
      <c r="B22" s="31" t="s">
        <v>43</v>
      </c>
      <c r="C22" s="17" t="s">
        <v>141</v>
      </c>
    </row>
    <row r="23">
      <c r="A23" s="33">
        <v>46139.845780891206</v>
      </c>
      <c r="B23" s="31" t="s">
        <v>58</v>
      </c>
      <c r="C23" s="17" t="s">
        <v>142</v>
      </c>
    </row>
    <row r="24">
      <c r="A24" s="33">
        <v>46139.84583451389</v>
      </c>
      <c r="B24" s="31" t="s">
        <v>43</v>
      </c>
      <c r="C24" s="17" t="s">
        <v>143</v>
      </c>
    </row>
    <row r="25">
      <c r="A25" s="33">
        <v>46139.8459218287</v>
      </c>
      <c r="B25" s="31" t="s">
        <v>43</v>
      </c>
      <c r="C25" s="17" t="s">
        <v>144</v>
      </c>
    </row>
    <row r="26">
      <c r="A26" s="33">
        <v>46139.84602863426</v>
      </c>
      <c r="B26" s="31" t="s">
        <v>43</v>
      </c>
      <c r="C26" s="17" t="s">
        <v>193</v>
      </c>
    </row>
    <row r="27">
      <c r="A27" s="33">
        <v>46139.84665663194</v>
      </c>
      <c r="B27" s="31" t="s">
        <v>43</v>
      </c>
      <c r="C27" s="17" t="s">
        <v>194</v>
      </c>
    </row>
    <row r="28">
      <c r="A28" s="33">
        <v>46139.84676025463</v>
      </c>
      <c r="B28" s="31" t="s">
        <v>43</v>
      </c>
      <c r="C28" s="17" t="s">
        <v>195</v>
      </c>
    </row>
    <row r="29">
      <c r="A29" s="33">
        <v>46139.8470696875</v>
      </c>
      <c r="B29" s="31" t="s">
        <v>43</v>
      </c>
      <c r="C29" s="17" t="s">
        <v>196</v>
      </c>
    </row>
    <row r="30">
      <c r="A30" s="33">
        <v>46139.84739350695</v>
      </c>
      <c r="B30" s="31" t="s">
        <v>43</v>
      </c>
      <c r="C30" s="17" t="s">
        <v>197</v>
      </c>
    </row>
    <row r="31">
      <c r="A31" s="33">
        <v>46139.84833707176</v>
      </c>
      <c r="B31" s="31" t="s">
        <v>43</v>
      </c>
      <c r="C31" s="17" t="s">
        <v>198</v>
      </c>
    </row>
    <row r="32">
      <c r="A32" s="33">
        <v>46139.848436458335</v>
      </c>
      <c r="B32" s="31" t="s">
        <v>43</v>
      </c>
      <c r="C32" s="17" t="s">
        <v>199</v>
      </c>
    </row>
    <row r="33">
      <c r="A33" s="33">
        <v>46139.848611388894</v>
      </c>
      <c r="B33" s="31" t="s">
        <v>43</v>
      </c>
      <c r="C33" s="17" t="s">
        <v>200</v>
      </c>
    </row>
    <row r="34">
      <c r="A34" s="33">
        <v>46139.848890625</v>
      </c>
      <c r="B34" s="31" t="s">
        <v>54</v>
      </c>
      <c r="C34" s="17" t="s">
        <v>201</v>
      </c>
    </row>
    <row r="35">
      <c r="A35" s="33">
        <v>46139.84952886574</v>
      </c>
      <c r="B35" s="35" t="s">
        <v>45</v>
      </c>
      <c r="C35" s="17" t="s">
        <v>202</v>
      </c>
    </row>
    <row r="36">
      <c r="A36" s="33">
        <v>46139.849651550925</v>
      </c>
      <c r="B36" s="31" t="s">
        <v>43</v>
      </c>
      <c r="C36" s="17" t="s">
        <v>203</v>
      </c>
    </row>
    <row r="37">
      <c r="A37" s="33">
        <v>46139.8497287037</v>
      </c>
      <c r="B37" s="31" t="s">
        <v>43</v>
      </c>
      <c r="C37" s="17" t="s">
        <v>204</v>
      </c>
    </row>
    <row r="38">
      <c r="A38" s="33">
        <v>46139.84982811342</v>
      </c>
      <c r="B38" s="31" t="s">
        <v>43</v>
      </c>
      <c r="C38" s="17" t="s">
        <v>205</v>
      </c>
    </row>
    <row r="39">
      <c r="A39" s="33">
        <v>46139.850502291665</v>
      </c>
      <c r="B39" s="31" t="s">
        <v>43</v>
      </c>
      <c r="C39" s="17" t="s">
        <v>206</v>
      </c>
    </row>
    <row r="40">
      <c r="A40" s="33">
        <v>46139.85074040509</v>
      </c>
      <c r="B40" s="31" t="s">
        <v>43</v>
      </c>
      <c r="C40" s="17" t="s">
        <v>207</v>
      </c>
    </row>
    <row r="41">
      <c r="A41" s="33">
        <v>46139.850861875</v>
      </c>
      <c r="B41" s="31" t="s">
        <v>43</v>
      </c>
      <c r="C41" s="17" t="s">
        <v>208</v>
      </c>
    </row>
    <row r="42">
      <c r="A42" s="33">
        <v>46139.85132877315</v>
      </c>
      <c r="B42" s="31" t="s">
        <v>54</v>
      </c>
      <c r="C42" s="17" t="s">
        <v>209</v>
      </c>
    </row>
    <row r="43">
      <c r="A43" s="33">
        <v>46139.85175407407</v>
      </c>
      <c r="B43" s="31" t="s">
        <v>43</v>
      </c>
      <c r="C43" s="17" t="s">
        <v>210</v>
      </c>
    </row>
    <row r="44">
      <c r="A44" s="33">
        <v>46139.852034571755</v>
      </c>
      <c r="B44" s="31" t="s">
        <v>58</v>
      </c>
      <c r="C44" s="17" t="s">
        <v>211</v>
      </c>
    </row>
    <row r="45">
      <c r="A45" s="33">
        <v>46139.85265777778</v>
      </c>
      <c r="B45" s="31" t="s">
        <v>54</v>
      </c>
      <c r="C45" s="17" t="s">
        <v>212</v>
      </c>
    </row>
    <row r="46">
      <c r="A46" s="33">
        <v>46139.85322012732</v>
      </c>
      <c r="B46" s="31" t="s">
        <v>43</v>
      </c>
      <c r="C46" s="17" t="s">
        <v>213</v>
      </c>
    </row>
    <row r="47">
      <c r="A47" s="33">
        <v>46139.85398895833</v>
      </c>
      <c r="B47" s="31" t="s">
        <v>43</v>
      </c>
      <c r="C47" s="17" t="s">
        <v>214</v>
      </c>
    </row>
    <row r="48">
      <c r="A48" s="33">
        <v>46139.879306296294</v>
      </c>
      <c r="B48" s="31" t="s">
        <v>52</v>
      </c>
      <c r="C48" s="17" t="s">
        <v>215</v>
      </c>
    </row>
    <row r="49">
      <c r="A49" s="33">
        <v>46139.85438159722</v>
      </c>
      <c r="B49" s="31" t="s">
        <v>43</v>
      </c>
      <c r="C49" s="17" t="s">
        <v>216</v>
      </c>
    </row>
    <row r="50">
      <c r="A50" s="33">
        <v>46139.85486649306</v>
      </c>
      <c r="B50" s="31" t="s">
        <v>58</v>
      </c>
      <c r="C50" s="17" t="s">
        <v>217</v>
      </c>
    </row>
    <row r="51">
      <c r="A51" s="33">
        <v>46139.855229988425</v>
      </c>
      <c r="B51" s="31" t="s">
        <v>43</v>
      </c>
      <c r="C51" s="17" t="s">
        <v>218</v>
      </c>
    </row>
    <row r="52">
      <c r="A52" s="33">
        <v>46139.85536138889</v>
      </c>
      <c r="B52" s="31" t="s">
        <v>43</v>
      </c>
      <c r="C52" s="17" t="s">
        <v>219</v>
      </c>
    </row>
    <row r="53">
      <c r="A53" s="33">
        <v>46139.855770787035</v>
      </c>
      <c r="B53" s="31" t="s">
        <v>43</v>
      </c>
      <c r="C53" s="17" t="s">
        <v>220</v>
      </c>
    </row>
    <row r="54">
      <c r="A54" s="33">
        <v>46139.856435787035</v>
      </c>
      <c r="B54" s="35" t="s">
        <v>45</v>
      </c>
      <c r="C54" s="17" t="s">
        <v>221</v>
      </c>
    </row>
    <row r="55">
      <c r="A55" s="33">
        <v>46139.85803347222</v>
      </c>
      <c r="B55" s="31" t="s">
        <v>43</v>
      </c>
      <c r="C55" s="17" t="s">
        <v>222</v>
      </c>
    </row>
    <row r="56">
      <c r="A56" s="33">
        <v>46139.85950219908</v>
      </c>
      <c r="B56" s="31" t="s">
        <v>43</v>
      </c>
      <c r="C56" s="17" t="s">
        <v>223</v>
      </c>
    </row>
    <row r="57">
      <c r="A57" s="33">
        <v>46139.859742002314</v>
      </c>
      <c r="B57" s="31" t="s">
        <v>43</v>
      </c>
      <c r="C57" s="17" t="s">
        <v>224</v>
      </c>
    </row>
    <row r="58">
      <c r="A58" s="33">
        <v>46139.860233506944</v>
      </c>
      <c r="B58" s="31" t="s">
        <v>43</v>
      </c>
      <c r="C58" s="17" t="s">
        <v>225</v>
      </c>
    </row>
    <row r="59">
      <c r="A59" s="33">
        <v>46139.86036880787</v>
      </c>
      <c r="B59" s="35" t="s">
        <v>45</v>
      </c>
      <c r="C59" s="17" t="s">
        <v>226</v>
      </c>
    </row>
    <row r="60">
      <c r="A60" s="33">
        <v>46139.86312673611</v>
      </c>
      <c r="B60" s="31" t="s">
        <v>43</v>
      </c>
      <c r="C60" s="17" t="s">
        <v>227</v>
      </c>
    </row>
    <row r="61">
      <c r="A61" s="33">
        <v>46139.8638875</v>
      </c>
      <c r="B61" s="31" t="s">
        <v>43</v>
      </c>
      <c r="C61" s="17" t="s">
        <v>228</v>
      </c>
    </row>
    <row r="62">
      <c r="A62" s="33">
        <v>46139.865965150464</v>
      </c>
      <c r="B62" s="31" t="s">
        <v>43</v>
      </c>
      <c r="C62" s="17" t="s">
        <v>229</v>
      </c>
    </row>
    <row r="63">
      <c r="A63" s="33">
        <v>46139.86967177084</v>
      </c>
      <c r="B63" s="31" t="s">
        <v>43</v>
      </c>
      <c r="C63" s="17" t="s">
        <v>230</v>
      </c>
    </row>
    <row r="64">
      <c r="A64" s="33">
        <v>46139.87032123843</v>
      </c>
      <c r="B64" s="31" t="s">
        <v>43</v>
      </c>
      <c r="C64" s="17" t="s">
        <v>231</v>
      </c>
    </row>
    <row r="65">
      <c r="A65" s="33">
        <v>46139.87051674769</v>
      </c>
      <c r="B65" s="31" t="s">
        <v>43</v>
      </c>
      <c r="C65" s="17" t="s">
        <v>232</v>
      </c>
    </row>
    <row r="66">
      <c r="A66" s="33">
        <v>46139.87093763889</v>
      </c>
      <c r="B66" s="31" t="s">
        <v>43</v>
      </c>
      <c r="C66" s="17" t="s">
        <v>233</v>
      </c>
    </row>
    <row r="67">
      <c r="A67" s="33">
        <v>46139.87163771991</v>
      </c>
      <c r="B67" s="31" t="s">
        <v>52</v>
      </c>
      <c r="C67" s="17" t="s">
        <v>234</v>
      </c>
    </row>
    <row r="68">
      <c r="A68" s="33">
        <v>46139.87143318287</v>
      </c>
      <c r="B68" s="31" t="s">
        <v>43</v>
      </c>
      <c r="C68" s="17" t="s">
        <v>235</v>
      </c>
    </row>
    <row r="69">
      <c r="A69" s="33">
        <v>46139.872950034725</v>
      </c>
      <c r="B69" s="31" t="s">
        <v>43</v>
      </c>
      <c r="C69" s="17" t="s">
        <v>236</v>
      </c>
    </row>
    <row r="70">
      <c r="A70" s="33">
        <v>46139.87311252315</v>
      </c>
      <c r="B70" s="31" t="s">
        <v>43</v>
      </c>
      <c r="C70" s="17" t="s">
        <v>237</v>
      </c>
    </row>
    <row r="71">
      <c r="A71" s="33">
        <v>46139.87323226852</v>
      </c>
      <c r="B71" s="31" t="s">
        <v>43</v>
      </c>
      <c r="C71" s="17" t="s">
        <v>238</v>
      </c>
    </row>
    <row r="72">
      <c r="A72" s="33">
        <v>46139.87334457176</v>
      </c>
      <c r="B72" s="31" t="s">
        <v>43</v>
      </c>
      <c r="C72" s="17" t="s">
        <v>239</v>
      </c>
    </row>
    <row r="73">
      <c r="A73" s="33">
        <v>46139.87439994213</v>
      </c>
      <c r="B73" s="35" t="s">
        <v>45</v>
      </c>
      <c r="C73" s="17" t="s">
        <v>240</v>
      </c>
    </row>
    <row r="74">
      <c r="A74" s="33">
        <v>46139.87344921296</v>
      </c>
      <c r="B74" s="31" t="s">
        <v>43</v>
      </c>
      <c r="C74" s="17" t="s">
        <v>241</v>
      </c>
    </row>
    <row r="75">
      <c r="A75" s="33">
        <v>46139.87609795139</v>
      </c>
      <c r="B75" s="31" t="s">
        <v>43</v>
      </c>
      <c r="C75" s="17" t="s">
        <v>242</v>
      </c>
    </row>
    <row r="76">
      <c r="A76" s="33">
        <v>46139.876152557874</v>
      </c>
      <c r="B76" s="31" t="s">
        <v>43</v>
      </c>
      <c r="C76" s="17" t="s">
        <v>243</v>
      </c>
    </row>
    <row r="77">
      <c r="A77" s="33">
        <v>46139.87652788195</v>
      </c>
      <c r="B77" s="31" t="s">
        <v>43</v>
      </c>
      <c r="C77" s="17" t="s">
        <v>244</v>
      </c>
    </row>
    <row r="78">
      <c r="A78" s="33">
        <v>46139.87688491898</v>
      </c>
      <c r="B78" s="31" t="s">
        <v>43</v>
      </c>
      <c r="C78" s="17" t="s">
        <v>245</v>
      </c>
    </row>
    <row r="79">
      <c r="A79" s="33">
        <v>46139.877030497686</v>
      </c>
      <c r="B79" s="31" t="s">
        <v>43</v>
      </c>
      <c r="C79" s="17" t="s">
        <v>246</v>
      </c>
    </row>
    <row r="80">
      <c r="A80" s="33">
        <v>46139.877676828706</v>
      </c>
      <c r="B80" s="31" t="s">
        <v>43</v>
      </c>
      <c r="C80" s="17" t="s">
        <v>247</v>
      </c>
    </row>
    <row r="81">
      <c r="A81" s="33">
        <v>46139.87781760417</v>
      </c>
      <c r="B81" s="31" t="s">
        <v>43</v>
      </c>
      <c r="C81" s="17" t="s">
        <v>248</v>
      </c>
    </row>
    <row r="82">
      <c r="A82" s="33">
        <v>46139.878552696755</v>
      </c>
      <c r="B82" s="31" t="s">
        <v>43</v>
      </c>
      <c r="C82" s="17" t="s">
        <v>249</v>
      </c>
    </row>
    <row r="83">
      <c r="A83" s="33">
        <v>46139.87806052083</v>
      </c>
      <c r="B83" s="31" t="s">
        <v>43</v>
      </c>
      <c r="C83" s="17" t="s">
        <v>250</v>
      </c>
    </row>
    <row r="84">
      <c r="A84" s="33">
        <v>46139.87832541666</v>
      </c>
      <c r="B84" s="31" t="s">
        <v>43</v>
      </c>
      <c r="C84" s="17" t="s">
        <v>251</v>
      </c>
    </row>
    <row r="85">
      <c r="A85" s="33">
        <v>46139.879760219905</v>
      </c>
      <c r="B85" s="31" t="s">
        <v>43</v>
      </c>
      <c r="C85" s="17" t="s">
        <v>186</v>
      </c>
    </row>
    <row r="86">
      <c r="A86" s="33">
        <v>46139.87985875</v>
      </c>
      <c r="B86" s="31" t="s">
        <v>43</v>
      </c>
      <c r="C86" s="17" t="s">
        <v>252</v>
      </c>
    </row>
    <row r="87">
      <c r="A87" s="33">
        <v>46139.88016208333</v>
      </c>
      <c r="B87" s="35" t="s">
        <v>45</v>
      </c>
      <c r="C87" s="17" t="s">
        <v>253</v>
      </c>
    </row>
    <row r="88">
      <c r="A88" s="33">
        <v>46139.88127434028</v>
      </c>
      <c r="B88" s="35" t="s">
        <v>52</v>
      </c>
      <c r="C88" s="17" t="s">
        <v>254</v>
      </c>
    </row>
    <row r="89">
      <c r="A89" s="33">
        <v>46139.88213803241</v>
      </c>
      <c r="B89" s="35" t="s">
        <v>52</v>
      </c>
      <c r="C89" s="17" t="s">
        <v>255</v>
      </c>
    </row>
    <row r="90">
      <c r="A90" s="33">
        <v>46139.88258498843</v>
      </c>
      <c r="B90" s="31" t="s">
        <v>52</v>
      </c>
      <c r="C90" s="17" t="s">
        <v>256</v>
      </c>
    </row>
    <row r="91">
      <c r="A91" s="33">
        <v>46139.88422440972</v>
      </c>
      <c r="B91" s="31" t="s">
        <v>52</v>
      </c>
      <c r="C91" s="30"/>
    </row>
    <row r="92">
      <c r="A92" s="37"/>
      <c r="B92" s="30"/>
      <c r="C92" s="30"/>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row r="1004">
      <c r="A1004" s="36"/>
    </row>
    <row r="1005">
      <c r="A1005" s="36"/>
    </row>
  </sheetData>
  <dataValidations>
    <dataValidation type="list" allowBlank="1" sqref="B18:B1005">
      <formula1>'Costin Joldeș'!$K$1:$K$9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46141.78674231481</v>
      </c>
      <c r="B1" s="27" t="s">
        <v>41</v>
      </c>
      <c r="C1" s="28">
        <v>67.57218333333334</v>
      </c>
      <c r="J1" s="17" t="s">
        <v>42</v>
      </c>
      <c r="K1" s="17" t="s">
        <v>43</v>
      </c>
    </row>
    <row r="2">
      <c r="A2" s="26">
        <v>46141.78674236111</v>
      </c>
      <c r="B2" s="27" t="s">
        <v>44</v>
      </c>
      <c r="C2" s="29">
        <f> COUNTIF(B:B, "Bug")</f>
        <v>13</v>
      </c>
      <c r="K2" s="17" t="s">
        <v>45</v>
      </c>
    </row>
    <row r="3">
      <c r="A3" s="26">
        <v>46141.78674241898</v>
      </c>
      <c r="B3" s="27" t="s">
        <v>46</v>
      </c>
      <c r="C3" s="29">
        <f> COUNTIF(B:B, "Bug OffCharter")</f>
        <v>0</v>
      </c>
      <c r="K3" s="17" t="s">
        <v>47</v>
      </c>
    </row>
    <row r="4">
      <c r="A4" s="26">
        <v>46141.78674247685</v>
      </c>
      <c r="B4" s="27" t="s">
        <v>48</v>
      </c>
      <c r="C4" s="28">
        <v>57.8647</v>
      </c>
      <c r="K4" s="17" t="s">
        <v>49</v>
      </c>
    </row>
    <row r="5">
      <c r="A5" s="26">
        <v>46141.78674252315</v>
      </c>
      <c r="B5" s="27" t="s">
        <v>50</v>
      </c>
      <c r="C5" s="28">
        <v>2.0648</v>
      </c>
      <c r="J5" s="17" t="s">
        <v>51</v>
      </c>
      <c r="K5" s="17" t="s">
        <v>52</v>
      </c>
    </row>
    <row r="6">
      <c r="A6" s="26">
        <v>46141.78674256944</v>
      </c>
      <c r="B6" s="27" t="s">
        <v>53</v>
      </c>
      <c r="C6" s="28">
        <v>7.641416666666666</v>
      </c>
      <c r="J6" s="30"/>
      <c r="K6" s="17" t="s">
        <v>54</v>
      </c>
    </row>
    <row r="7">
      <c r="A7" s="26">
        <v>46141.78674261574</v>
      </c>
      <c r="B7" s="27" t="s">
        <v>55</v>
      </c>
      <c r="C7" s="28">
        <v>0.0</v>
      </c>
      <c r="K7" s="17" t="s">
        <v>56</v>
      </c>
    </row>
    <row r="8">
      <c r="A8" s="26">
        <v>46141.786742662036</v>
      </c>
      <c r="B8" s="27" t="s">
        <v>57</v>
      </c>
      <c r="C8" s="29">
        <f> COUNTIF(B:B, "Question")</f>
        <v>0</v>
      </c>
      <c r="K8" s="17" t="s">
        <v>58</v>
      </c>
    </row>
    <row r="9">
      <c r="A9" s="26">
        <v>46141.786742743054</v>
      </c>
      <c r="B9" s="27" t="s">
        <v>59</v>
      </c>
      <c r="C9" s="29">
        <f> COUNTIF(B:B, "NextTime")</f>
        <v>0</v>
      </c>
      <c r="K9" s="17" t="s">
        <v>60</v>
      </c>
    </row>
    <row r="10">
      <c r="A10" s="26">
        <v>46141.78674278935</v>
      </c>
      <c r="B10" s="17" t="s">
        <v>61</v>
      </c>
      <c r="C10" s="17" t="s">
        <v>36</v>
      </c>
    </row>
    <row r="11">
      <c r="A11" s="26">
        <v>46141.78674282407</v>
      </c>
      <c r="B11" s="17" t="s">
        <v>62</v>
      </c>
      <c r="C11" s="17" t="s">
        <v>35</v>
      </c>
    </row>
    <row r="12">
      <c r="A12" s="26">
        <v>46141.786742870376</v>
      </c>
      <c r="B12" s="17" t="s">
        <v>63</v>
      </c>
      <c r="C12" s="17">
        <v>60.0</v>
      </c>
    </row>
    <row r="13">
      <c r="A13" s="26">
        <v>46141.786742916665</v>
      </c>
      <c r="B13" s="17" t="s">
        <v>64</v>
      </c>
      <c r="C13" s="17" t="s">
        <v>257</v>
      </c>
    </row>
    <row r="14">
      <c r="A14" s="26">
        <v>46141.78674296296</v>
      </c>
      <c r="B14" s="17" t="s">
        <v>18</v>
      </c>
      <c r="C14" s="30"/>
    </row>
    <row r="15">
      <c r="A15" s="26">
        <v>46141.78674302083</v>
      </c>
      <c r="B15" s="17" t="s">
        <v>66</v>
      </c>
      <c r="C15" s="34" t="s">
        <v>47</v>
      </c>
    </row>
    <row r="16">
      <c r="A16" s="26">
        <v>46141.78674306713</v>
      </c>
      <c r="B16" s="17" t="s">
        <v>67</v>
      </c>
      <c r="C16" s="15">
        <v>-7.572183333333342</v>
      </c>
    </row>
    <row r="17">
      <c r="A17" s="26">
        <v>46141.78674310185</v>
      </c>
      <c r="B17" s="17" t="s">
        <v>68</v>
      </c>
      <c r="C17" s="32" t="s">
        <v>69</v>
      </c>
    </row>
    <row r="18">
      <c r="A18" s="33">
        <v>46141.78674319445</v>
      </c>
      <c r="B18" s="34" t="s">
        <v>47</v>
      </c>
      <c r="C18" s="17" t="s">
        <v>70</v>
      </c>
      <c r="D18" s="30"/>
    </row>
    <row r="19">
      <c r="A19" s="33">
        <v>46141.78692694445</v>
      </c>
      <c r="B19" s="34" t="s">
        <v>47</v>
      </c>
      <c r="C19" s="17" t="s">
        <v>192</v>
      </c>
    </row>
    <row r="20">
      <c r="A20" s="33">
        <v>46141.7870440625</v>
      </c>
      <c r="B20" s="31" t="s">
        <v>43</v>
      </c>
      <c r="C20" s="17" t="s">
        <v>141</v>
      </c>
    </row>
    <row r="21">
      <c r="A21" s="33">
        <v>46141.787215289354</v>
      </c>
      <c r="B21" s="31" t="s">
        <v>58</v>
      </c>
      <c r="C21" s="17" t="s">
        <v>142</v>
      </c>
    </row>
    <row r="22">
      <c r="A22" s="33">
        <v>46141.787247534725</v>
      </c>
      <c r="B22" s="31" t="s">
        <v>43</v>
      </c>
      <c r="C22" s="17" t="s">
        <v>143</v>
      </c>
    </row>
    <row r="23">
      <c r="A23" s="33">
        <v>46141.78739241898</v>
      </c>
      <c r="B23" s="31" t="s">
        <v>43</v>
      </c>
      <c r="C23" s="17" t="s">
        <v>144</v>
      </c>
    </row>
    <row r="24">
      <c r="A24" s="33">
        <v>46141.78743278935</v>
      </c>
      <c r="B24" s="31" t="s">
        <v>43</v>
      </c>
      <c r="C24" s="38" t="s">
        <v>258</v>
      </c>
    </row>
    <row r="25">
      <c r="A25" s="33">
        <v>46141.7902135301</v>
      </c>
      <c r="B25" s="31" t="s">
        <v>43</v>
      </c>
      <c r="C25" s="17" t="s">
        <v>259</v>
      </c>
    </row>
    <row r="26">
      <c r="A26" s="33">
        <v>46141.79144311343</v>
      </c>
      <c r="B26" s="31" t="s">
        <v>52</v>
      </c>
      <c r="C26" s="17" t="s">
        <v>260</v>
      </c>
    </row>
    <row r="27">
      <c r="A27" s="33">
        <v>46141.79255126158</v>
      </c>
      <c r="B27" s="31" t="s">
        <v>58</v>
      </c>
      <c r="C27" s="17" t="s">
        <v>261</v>
      </c>
    </row>
    <row r="28">
      <c r="A28" s="33">
        <v>46141.79340712963</v>
      </c>
      <c r="B28" s="31" t="s">
        <v>43</v>
      </c>
      <c r="C28" s="17" t="s">
        <v>262</v>
      </c>
    </row>
    <row r="29">
      <c r="A29" s="33">
        <v>46141.79440921296</v>
      </c>
      <c r="B29" s="31" t="s">
        <v>43</v>
      </c>
      <c r="C29" s="17" t="s">
        <v>263</v>
      </c>
    </row>
    <row r="30">
      <c r="A30" s="33">
        <v>46141.79537681713</v>
      </c>
      <c r="B30" s="31" t="s">
        <v>43</v>
      </c>
      <c r="C30" s="17" t="s">
        <v>264</v>
      </c>
    </row>
    <row r="31">
      <c r="A31" s="33">
        <v>46141.79599950231</v>
      </c>
      <c r="B31" s="31" t="s">
        <v>43</v>
      </c>
      <c r="C31" s="17" t="s">
        <v>265</v>
      </c>
    </row>
    <row r="32">
      <c r="A32" s="33">
        <v>46141.79626592592</v>
      </c>
      <c r="B32" s="31" t="s">
        <v>43</v>
      </c>
      <c r="C32" s="17" t="s">
        <v>266</v>
      </c>
    </row>
    <row r="33">
      <c r="A33" s="33">
        <v>46141.79640802083</v>
      </c>
      <c r="B33" s="31" t="s">
        <v>43</v>
      </c>
      <c r="C33" s="17" t="s">
        <v>267</v>
      </c>
    </row>
    <row r="34">
      <c r="A34" s="33">
        <v>46141.79672929399</v>
      </c>
      <c r="B34" s="31" t="s">
        <v>43</v>
      </c>
      <c r="C34" s="17" t="s">
        <v>268</v>
      </c>
    </row>
    <row r="35">
      <c r="A35" s="33">
        <v>46141.79683302084</v>
      </c>
      <c r="B35" s="35" t="s">
        <v>45</v>
      </c>
      <c r="C35" s="17" t="s">
        <v>269</v>
      </c>
    </row>
    <row r="36">
      <c r="A36" s="33">
        <v>46141.797091932865</v>
      </c>
      <c r="B36" s="31" t="s">
        <v>43</v>
      </c>
      <c r="C36" s="17" t="s">
        <v>270</v>
      </c>
    </row>
    <row r="37">
      <c r="A37" s="33">
        <v>46141.798438530095</v>
      </c>
      <c r="B37" s="31" t="s">
        <v>43</v>
      </c>
      <c r="C37" s="17" t="s">
        <v>271</v>
      </c>
    </row>
    <row r="38">
      <c r="A38" s="33">
        <v>46141.799899571764</v>
      </c>
      <c r="B38" s="35" t="s">
        <v>45</v>
      </c>
      <c r="C38" s="17" t="s">
        <v>272</v>
      </c>
    </row>
    <row r="39">
      <c r="A39" s="33">
        <v>46141.800600462964</v>
      </c>
      <c r="B39" s="31" t="s">
        <v>52</v>
      </c>
      <c r="C39" s="17" t="s">
        <v>273</v>
      </c>
    </row>
    <row r="40">
      <c r="A40" s="33">
        <v>46141.80100179398</v>
      </c>
      <c r="B40" s="35" t="s">
        <v>45</v>
      </c>
      <c r="C40" s="17" t="s">
        <v>274</v>
      </c>
    </row>
    <row r="41">
      <c r="A41" s="33">
        <v>46141.80215725694</v>
      </c>
      <c r="B41" s="35" t="s">
        <v>45</v>
      </c>
      <c r="C41" s="17" t="s">
        <v>275</v>
      </c>
    </row>
    <row r="42">
      <c r="A42" s="33">
        <v>46141.80251222222</v>
      </c>
      <c r="B42" s="35" t="s">
        <v>45</v>
      </c>
      <c r="C42" s="17" t="s">
        <v>276</v>
      </c>
    </row>
    <row r="43">
      <c r="A43" s="33">
        <v>46141.802686145835</v>
      </c>
      <c r="B43" s="35" t="s">
        <v>45</v>
      </c>
      <c r="C43" s="17" t="s">
        <v>277</v>
      </c>
    </row>
    <row r="44">
      <c r="A44" s="33">
        <v>46141.80306394676</v>
      </c>
      <c r="B44" s="35" t="s">
        <v>45</v>
      </c>
      <c r="C44" s="17" t="s">
        <v>278</v>
      </c>
    </row>
    <row r="45">
      <c r="A45" s="33">
        <v>46141.80324061343</v>
      </c>
      <c r="B45" s="35" t="s">
        <v>45</v>
      </c>
      <c r="C45" s="17" t="s">
        <v>279</v>
      </c>
    </row>
    <row r="46">
      <c r="A46" s="33">
        <v>46141.80351646991</v>
      </c>
      <c r="B46" s="35" t="s">
        <v>45</v>
      </c>
      <c r="C46" s="17" t="s">
        <v>280</v>
      </c>
    </row>
    <row r="47">
      <c r="A47" s="33">
        <v>46141.803670231486</v>
      </c>
      <c r="B47" s="35" t="s">
        <v>45</v>
      </c>
      <c r="C47" s="17" t="s">
        <v>281</v>
      </c>
    </row>
    <row r="48">
      <c r="A48" s="33">
        <v>46141.80391357639</v>
      </c>
      <c r="B48" s="35" t="s">
        <v>45</v>
      </c>
      <c r="C48" s="17" t="s">
        <v>282</v>
      </c>
    </row>
    <row r="49">
      <c r="A49" s="33">
        <v>46141.80425418982</v>
      </c>
      <c r="B49" s="31" t="s">
        <v>43</v>
      </c>
      <c r="C49" s="17" t="s">
        <v>283</v>
      </c>
    </row>
    <row r="50">
      <c r="A50" s="33">
        <v>46141.80441768518</v>
      </c>
      <c r="B50" s="31" t="s">
        <v>43</v>
      </c>
      <c r="C50" s="17" t="s">
        <v>284</v>
      </c>
    </row>
    <row r="51">
      <c r="A51" s="33">
        <v>46141.80520394676</v>
      </c>
      <c r="B51" s="31" t="s">
        <v>43</v>
      </c>
      <c r="C51" s="17" t="s">
        <v>285</v>
      </c>
    </row>
    <row r="52">
      <c r="A52" s="33">
        <v>46141.80607320602</v>
      </c>
      <c r="B52" s="31" t="s">
        <v>43</v>
      </c>
      <c r="C52" s="17" t="s">
        <v>286</v>
      </c>
    </row>
    <row r="53">
      <c r="A53" s="33">
        <v>46141.80724616898</v>
      </c>
      <c r="B53" s="31" t="s">
        <v>43</v>
      </c>
      <c r="C53" s="17" t="s">
        <v>287</v>
      </c>
    </row>
    <row r="54">
      <c r="A54" s="33">
        <v>46141.81134233796</v>
      </c>
      <c r="B54" s="31" t="s">
        <v>43</v>
      </c>
      <c r="C54" s="17" t="s">
        <v>288</v>
      </c>
    </row>
    <row r="55">
      <c r="A55" s="33">
        <v>46141.80821924769</v>
      </c>
      <c r="B55" s="31" t="s">
        <v>58</v>
      </c>
      <c r="C55" s="17" t="s">
        <v>289</v>
      </c>
    </row>
    <row r="56">
      <c r="A56" s="33">
        <v>46141.81575887732</v>
      </c>
      <c r="B56" s="31" t="s">
        <v>52</v>
      </c>
      <c r="C56" s="17" t="s">
        <v>290</v>
      </c>
    </row>
    <row r="57">
      <c r="A57" s="33">
        <v>46141.80960572917</v>
      </c>
      <c r="B57" s="31" t="s">
        <v>43</v>
      </c>
      <c r="C57" s="17" t="s">
        <v>291</v>
      </c>
    </row>
    <row r="58">
      <c r="A58" s="33">
        <v>46141.812132824074</v>
      </c>
      <c r="B58" s="31" t="s">
        <v>43</v>
      </c>
      <c r="C58" s="17" t="s">
        <v>292</v>
      </c>
    </row>
    <row r="59">
      <c r="A59" s="33">
        <v>46141.81298857639</v>
      </c>
      <c r="B59" s="31" t="s">
        <v>43</v>
      </c>
      <c r="C59" s="17" t="s">
        <v>293</v>
      </c>
    </row>
    <row r="60">
      <c r="A60" s="33">
        <v>46141.81429097222</v>
      </c>
      <c r="B60" s="31" t="s">
        <v>43</v>
      </c>
      <c r="C60" s="17" t="s">
        <v>294</v>
      </c>
    </row>
    <row r="61">
      <c r="A61" s="33">
        <v>46141.81526971065</v>
      </c>
      <c r="B61" s="31" t="s">
        <v>52</v>
      </c>
      <c r="C61" s="17" t="s">
        <v>295</v>
      </c>
    </row>
    <row r="62">
      <c r="A62" s="33">
        <v>46141.81503886574</v>
      </c>
      <c r="B62" s="31" t="s">
        <v>43</v>
      </c>
      <c r="C62" s="17" t="s">
        <v>296</v>
      </c>
    </row>
    <row r="63">
      <c r="A63" s="33">
        <v>46141.81640012731</v>
      </c>
      <c r="B63" s="31" t="s">
        <v>43</v>
      </c>
      <c r="C63" s="17" t="s">
        <v>297</v>
      </c>
    </row>
    <row r="64">
      <c r="A64" s="33">
        <v>46141.81718825232</v>
      </c>
      <c r="B64" s="31" t="s">
        <v>43</v>
      </c>
      <c r="C64" s="17" t="s">
        <v>298</v>
      </c>
    </row>
    <row r="65">
      <c r="A65" s="33">
        <v>46141.818756319444</v>
      </c>
      <c r="B65" s="31" t="s">
        <v>43</v>
      </c>
      <c r="C65" s="17" t="s">
        <v>299</v>
      </c>
    </row>
    <row r="66">
      <c r="A66" s="33">
        <v>46141.81940684028</v>
      </c>
      <c r="B66" s="35" t="s">
        <v>45</v>
      </c>
      <c r="C66" s="17" t="s">
        <v>300</v>
      </c>
    </row>
    <row r="67">
      <c r="A67" s="33">
        <v>46141.82018152778</v>
      </c>
      <c r="B67" s="35" t="s">
        <v>45</v>
      </c>
      <c r="C67" s="17" t="s">
        <v>301</v>
      </c>
    </row>
    <row r="68">
      <c r="A68" s="33">
        <v>46141.820501180555</v>
      </c>
      <c r="B68" s="31" t="s">
        <v>43</v>
      </c>
      <c r="C68" s="17" t="s">
        <v>302</v>
      </c>
    </row>
    <row r="69">
      <c r="A69" s="33">
        <v>46141.821118761574</v>
      </c>
      <c r="B69" s="31" t="s">
        <v>43</v>
      </c>
      <c r="C69" s="17" t="s">
        <v>303</v>
      </c>
    </row>
    <row r="70">
      <c r="A70" s="33"/>
      <c r="B70" s="31"/>
      <c r="C70" s="17" t="s">
        <v>304</v>
      </c>
    </row>
    <row r="71">
      <c r="A71" s="33">
        <v>46141.82179045139</v>
      </c>
      <c r="B71" s="31" t="s">
        <v>43</v>
      </c>
      <c r="C71" s="17" t="s">
        <v>305</v>
      </c>
    </row>
    <row r="72">
      <c r="A72" s="33">
        <v>46141.822817974535</v>
      </c>
      <c r="B72" s="31" t="s">
        <v>43</v>
      </c>
      <c r="C72" s="17" t="s">
        <v>306</v>
      </c>
    </row>
    <row r="73">
      <c r="A73" s="33">
        <v>46141.82387508102</v>
      </c>
      <c r="B73" s="31" t="s">
        <v>43</v>
      </c>
      <c r="C73" s="17" t="s">
        <v>307</v>
      </c>
    </row>
    <row r="74">
      <c r="A74" s="33">
        <v>46141.82440641204</v>
      </c>
      <c r="B74" s="31" t="s">
        <v>43</v>
      </c>
      <c r="C74" s="17" t="s">
        <v>308</v>
      </c>
    </row>
    <row r="75">
      <c r="A75" s="33">
        <v>46141.82467458333</v>
      </c>
      <c r="B75" s="31" t="s">
        <v>52</v>
      </c>
      <c r="C75" s="17" t="s">
        <v>309</v>
      </c>
    </row>
    <row r="76">
      <c r="A76" s="33">
        <v>46141.82551283565</v>
      </c>
      <c r="B76" s="34" t="s">
        <v>47</v>
      </c>
      <c r="C76" s="17" t="s">
        <v>310</v>
      </c>
    </row>
    <row r="77">
      <c r="A77" s="33">
        <v>46141.82585234954</v>
      </c>
      <c r="B77" s="34" t="s">
        <v>47</v>
      </c>
      <c r="C77" s="17" t="s">
        <v>311</v>
      </c>
    </row>
    <row r="78">
      <c r="A78" s="33">
        <v>46141.82664585648</v>
      </c>
      <c r="B78" s="31" t="s">
        <v>43</v>
      </c>
      <c r="C78" s="17" t="s">
        <v>312</v>
      </c>
    </row>
    <row r="79">
      <c r="A79" s="33">
        <v>46141.82760189815</v>
      </c>
      <c r="B79" s="31" t="s">
        <v>43</v>
      </c>
      <c r="C79" s="17" t="s">
        <v>313</v>
      </c>
    </row>
    <row r="80">
      <c r="A80" s="33">
        <v>46141.82799104167</v>
      </c>
      <c r="B80" s="31" t="s">
        <v>43</v>
      </c>
      <c r="C80" s="17" t="s">
        <v>314</v>
      </c>
    </row>
    <row r="81">
      <c r="A81" s="33">
        <v>46141.830670069445</v>
      </c>
      <c r="B81" s="31" t="s">
        <v>43</v>
      </c>
      <c r="C81" s="17" t="s">
        <v>315</v>
      </c>
    </row>
    <row r="82">
      <c r="A82" s="33">
        <v>46141.82912995371</v>
      </c>
      <c r="B82" s="31" t="s">
        <v>43</v>
      </c>
      <c r="C82" s="17" t="s">
        <v>316</v>
      </c>
    </row>
    <row r="83">
      <c r="A83" s="33">
        <v>46141.82991935185</v>
      </c>
      <c r="B83" s="31" t="s">
        <v>43</v>
      </c>
      <c r="C83" s="17" t="s">
        <v>317</v>
      </c>
    </row>
    <row r="84">
      <c r="A84" s="33">
        <v>46141.8314349537</v>
      </c>
      <c r="B84" s="31" t="s">
        <v>43</v>
      </c>
      <c r="C84" s="17" t="s">
        <v>318</v>
      </c>
    </row>
    <row r="85">
      <c r="A85" s="33">
        <v>46141.832994861106</v>
      </c>
      <c r="B85" s="31" t="s">
        <v>52</v>
      </c>
      <c r="C85" s="17" t="s">
        <v>319</v>
      </c>
    </row>
    <row r="86">
      <c r="A86" s="33">
        <v>46141.83366744213</v>
      </c>
      <c r="B86" s="34" t="s">
        <v>47</v>
      </c>
      <c r="C86" s="17" t="s">
        <v>188</v>
      </c>
    </row>
    <row r="87">
      <c r="A87" s="37"/>
      <c r="B87" s="30"/>
      <c r="C87" s="30"/>
    </row>
    <row r="88">
      <c r="A88" s="37"/>
      <c r="B88" s="30"/>
      <c r="C88" s="30"/>
    </row>
    <row r="89">
      <c r="A89" s="37"/>
      <c r="B89" s="30"/>
      <c r="C89" s="30"/>
    </row>
    <row r="90">
      <c r="A90" s="37"/>
      <c r="B90" s="30"/>
      <c r="C90" s="30"/>
    </row>
    <row r="91">
      <c r="A91" s="37"/>
      <c r="B91" s="30"/>
      <c r="C91" s="30"/>
    </row>
    <row r="92">
      <c r="A92" s="37"/>
      <c r="B92" s="30"/>
      <c r="C92" s="30"/>
    </row>
    <row r="93">
      <c r="A93" s="37"/>
      <c r="B93" s="30"/>
      <c r="C93" s="30"/>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row r="1004">
      <c r="A1004" s="36"/>
    </row>
    <row r="1005">
      <c r="A1005" s="36"/>
    </row>
    <row r="1006">
      <c r="A1006" s="36"/>
    </row>
  </sheetData>
  <dataValidations>
    <dataValidation type="list" allowBlank="1" sqref="B18:B1006">
      <formula1>'Ielciu Mara'!$K$1:$K$9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46142.475044189814</v>
      </c>
      <c r="B1" s="27" t="s">
        <v>41</v>
      </c>
      <c r="C1" s="28">
        <v>51.29521666666667</v>
      </c>
      <c r="J1" s="17" t="s">
        <v>42</v>
      </c>
      <c r="K1" s="17" t="s">
        <v>43</v>
      </c>
    </row>
    <row r="2">
      <c r="A2" s="26">
        <v>46142.47504422454</v>
      </c>
      <c r="B2" s="27" t="s">
        <v>44</v>
      </c>
      <c r="C2" s="29">
        <f> COUNTIF(B:B, "Bug")</f>
        <v>4</v>
      </c>
      <c r="K2" s="17" t="s">
        <v>45</v>
      </c>
    </row>
    <row r="3">
      <c r="A3" s="26">
        <v>46142.47504428241</v>
      </c>
      <c r="B3" s="27" t="s">
        <v>46</v>
      </c>
      <c r="C3" s="29">
        <f> COUNTIF(B:B, "Bug OffCharter")</f>
        <v>0</v>
      </c>
      <c r="K3" s="17" t="s">
        <v>47</v>
      </c>
    </row>
    <row r="4">
      <c r="A4" s="26">
        <v>46142.47504431713</v>
      </c>
      <c r="B4" s="27" t="s">
        <v>48</v>
      </c>
      <c r="C4" s="28">
        <v>37.99628333333333</v>
      </c>
      <c r="K4" s="17" t="s">
        <v>49</v>
      </c>
    </row>
    <row r="5">
      <c r="A5" s="26">
        <v>46142.47504435186</v>
      </c>
      <c r="B5" s="27" t="s">
        <v>50</v>
      </c>
      <c r="C5" s="28">
        <v>10.410950000000001</v>
      </c>
      <c r="J5" s="17" t="s">
        <v>51</v>
      </c>
      <c r="K5" s="17" t="s">
        <v>52</v>
      </c>
    </row>
    <row r="6">
      <c r="A6" s="26">
        <v>46142.47504439815</v>
      </c>
      <c r="B6" s="27" t="s">
        <v>53</v>
      </c>
      <c r="C6" s="28">
        <v>2.88705</v>
      </c>
      <c r="J6" s="30"/>
      <c r="K6" s="17" t="s">
        <v>54</v>
      </c>
    </row>
    <row r="7">
      <c r="A7" s="26">
        <v>46142.47504443287</v>
      </c>
      <c r="B7" s="27" t="s">
        <v>55</v>
      </c>
      <c r="C7" s="28">
        <v>0.0</v>
      </c>
      <c r="K7" s="17" t="s">
        <v>56</v>
      </c>
    </row>
    <row r="8">
      <c r="A8" s="26">
        <v>46142.47504445602</v>
      </c>
      <c r="B8" s="27" t="s">
        <v>57</v>
      </c>
      <c r="C8" s="29">
        <f> COUNTIF(B:B, "Question")</f>
        <v>3</v>
      </c>
      <c r="K8" s="17" t="s">
        <v>58</v>
      </c>
    </row>
    <row r="9">
      <c r="A9" s="26">
        <v>46142.47504452546</v>
      </c>
      <c r="B9" s="27" t="s">
        <v>59</v>
      </c>
      <c r="C9" s="29">
        <f> COUNTIF(B:B, "NextTime")</f>
        <v>0</v>
      </c>
      <c r="K9" s="17" t="s">
        <v>60</v>
      </c>
    </row>
    <row r="10">
      <c r="A10" s="26">
        <v>46142.47504456018</v>
      </c>
      <c r="B10" s="17" t="s">
        <v>61</v>
      </c>
      <c r="C10" s="17" t="s">
        <v>38</v>
      </c>
    </row>
    <row r="11">
      <c r="A11" s="26">
        <v>46142.4750445949</v>
      </c>
      <c r="B11" s="17" t="s">
        <v>62</v>
      </c>
      <c r="C11" s="17" t="s">
        <v>37</v>
      </c>
    </row>
    <row r="12">
      <c r="A12" s="26">
        <v>46142.47504462963</v>
      </c>
      <c r="B12" s="17" t="s">
        <v>63</v>
      </c>
      <c r="C12" s="17">
        <v>60.0</v>
      </c>
    </row>
    <row r="13">
      <c r="A13" s="26">
        <v>46142.47504466435</v>
      </c>
      <c r="B13" s="17" t="s">
        <v>64</v>
      </c>
      <c r="C13" s="17" t="s">
        <v>320</v>
      </c>
    </row>
    <row r="14">
      <c r="A14" s="26">
        <v>46142.4750446875</v>
      </c>
      <c r="B14" s="17" t="s">
        <v>18</v>
      </c>
      <c r="C14" s="30"/>
    </row>
    <row r="15">
      <c r="A15" s="26">
        <v>46142.47504472222</v>
      </c>
      <c r="B15" s="17" t="s">
        <v>66</v>
      </c>
      <c r="C15" s="35" t="s">
        <v>45</v>
      </c>
    </row>
    <row r="16">
      <c r="A16" s="26">
        <v>46142.475044756946</v>
      </c>
      <c r="B16" s="17" t="s">
        <v>67</v>
      </c>
      <c r="C16" s="17">
        <v>8.704783333333332</v>
      </c>
    </row>
    <row r="17">
      <c r="A17" s="26">
        <v>46142.47504480324</v>
      </c>
      <c r="B17" s="17" t="s">
        <v>68</v>
      </c>
      <c r="C17" s="32" t="s">
        <v>69</v>
      </c>
    </row>
    <row r="18">
      <c r="A18" s="33">
        <v>46142.475044837964</v>
      </c>
      <c r="B18" s="34" t="s">
        <v>47</v>
      </c>
      <c r="C18" s="17" t="s">
        <v>70</v>
      </c>
      <c r="D18" s="30"/>
    </row>
    <row r="19">
      <c r="A19" s="33">
        <v>46142.47523966435</v>
      </c>
      <c r="B19" s="34" t="s">
        <v>47</v>
      </c>
      <c r="C19" s="17" t="s">
        <v>321</v>
      </c>
    </row>
    <row r="20">
      <c r="A20" s="33">
        <v>46142.475443055555</v>
      </c>
      <c r="B20" s="31" t="s">
        <v>43</v>
      </c>
      <c r="C20" s="17" t="s">
        <v>141</v>
      </c>
    </row>
    <row r="21">
      <c r="A21" s="33">
        <v>46142.47555869213</v>
      </c>
      <c r="B21" s="31" t="s">
        <v>58</v>
      </c>
      <c r="C21" s="17" t="s">
        <v>142</v>
      </c>
    </row>
    <row r="22">
      <c r="A22" s="33">
        <v>46142.4756640625</v>
      </c>
      <c r="B22" s="31" t="s">
        <v>43</v>
      </c>
      <c r="C22" s="17" t="s">
        <v>143</v>
      </c>
    </row>
    <row r="23">
      <c r="A23" s="33">
        <v>46142.4758140162</v>
      </c>
      <c r="B23" s="31" t="s">
        <v>43</v>
      </c>
      <c r="C23" s="17" t="s">
        <v>144</v>
      </c>
    </row>
    <row r="24">
      <c r="A24" s="33">
        <v>46142.475979270836</v>
      </c>
      <c r="B24" s="34" t="s">
        <v>47</v>
      </c>
      <c r="C24" s="17" t="s">
        <v>322</v>
      </c>
    </row>
    <row r="25">
      <c r="A25" s="33">
        <v>46142.476979548606</v>
      </c>
      <c r="B25" s="34" t="s">
        <v>47</v>
      </c>
      <c r="C25" s="17" t="s">
        <v>323</v>
      </c>
    </row>
    <row r="26">
      <c r="A26" s="33">
        <v>46142.47866037037</v>
      </c>
      <c r="B26" s="34" t="s">
        <v>47</v>
      </c>
      <c r="C26" s="17" t="s">
        <v>324</v>
      </c>
    </row>
    <row r="27">
      <c r="A27" s="33">
        <v>46142.47881851852</v>
      </c>
      <c r="B27" s="34" t="s">
        <v>47</v>
      </c>
      <c r="C27" s="17" t="s">
        <v>325</v>
      </c>
    </row>
    <row r="28">
      <c r="A28" s="33">
        <v>46142.478862442134</v>
      </c>
      <c r="B28" s="34" t="s">
        <v>47</v>
      </c>
      <c r="C28" s="17" t="s">
        <v>326</v>
      </c>
    </row>
    <row r="29">
      <c r="A29" s="33">
        <v>46142.47889459491</v>
      </c>
      <c r="B29" s="34" t="s">
        <v>47</v>
      </c>
      <c r="C29" s="17" t="s">
        <v>327</v>
      </c>
    </row>
    <row r="30">
      <c r="A30" s="33">
        <v>46142.4789034375</v>
      </c>
      <c r="B30" s="34" t="s">
        <v>47</v>
      </c>
      <c r="C30" s="17" t="s">
        <v>328</v>
      </c>
    </row>
    <row r="31">
      <c r="A31" s="33">
        <v>46142.47892862269</v>
      </c>
      <c r="B31" s="34" t="s">
        <v>47</v>
      </c>
      <c r="C31" s="17" t="s">
        <v>329</v>
      </c>
    </row>
    <row r="32">
      <c r="A32" s="33">
        <v>46142.47925844908</v>
      </c>
      <c r="B32" s="34" t="s">
        <v>47</v>
      </c>
      <c r="C32" s="17" t="s">
        <v>330</v>
      </c>
    </row>
    <row r="33">
      <c r="A33" s="33">
        <v>46142.479274791665</v>
      </c>
      <c r="B33" s="34" t="s">
        <v>47</v>
      </c>
      <c r="C33" s="17" t="s">
        <v>331</v>
      </c>
    </row>
    <row r="34">
      <c r="A34" s="33">
        <v>46142.4792996412</v>
      </c>
      <c r="B34" s="34" t="s">
        <v>47</v>
      </c>
      <c r="C34" s="17" t="s">
        <v>332</v>
      </c>
    </row>
    <row r="35">
      <c r="A35" s="33">
        <v>46142.47932331018</v>
      </c>
      <c r="B35" s="34" t="s">
        <v>47</v>
      </c>
      <c r="C35" s="17" t="s">
        <v>333</v>
      </c>
    </row>
    <row r="36">
      <c r="A36" s="33">
        <v>46142.4793496875</v>
      </c>
      <c r="B36" s="34" t="s">
        <v>47</v>
      </c>
      <c r="C36" s="17" t="s">
        <v>334</v>
      </c>
    </row>
    <row r="37">
      <c r="A37" s="33">
        <v>46142.479395856484</v>
      </c>
      <c r="B37" s="34" t="s">
        <v>47</v>
      </c>
      <c r="C37" s="17" t="s">
        <v>335</v>
      </c>
    </row>
    <row r="38">
      <c r="A38" s="33">
        <v>46142.47941685186</v>
      </c>
      <c r="B38" s="34" t="s">
        <v>47</v>
      </c>
      <c r="C38" s="17" t="s">
        <v>336</v>
      </c>
    </row>
    <row r="39">
      <c r="A39" s="33">
        <v>46142.47948821759</v>
      </c>
      <c r="B39" s="34" t="s">
        <v>47</v>
      </c>
      <c r="C39" s="17" t="s">
        <v>337</v>
      </c>
    </row>
    <row r="40">
      <c r="A40" s="33">
        <v>46142.47947268518</v>
      </c>
      <c r="B40" s="34" t="s">
        <v>47</v>
      </c>
      <c r="C40" s="17" t="s">
        <v>338</v>
      </c>
    </row>
    <row r="41">
      <c r="A41" s="33">
        <v>46142.47947788195</v>
      </c>
      <c r="B41" s="34" t="s">
        <v>47</v>
      </c>
      <c r="C41" s="17" t="s">
        <v>339</v>
      </c>
    </row>
    <row r="42">
      <c r="A42" s="33">
        <v>46142.47948515046</v>
      </c>
      <c r="B42" s="34" t="s">
        <v>47</v>
      </c>
      <c r="C42" s="17" t="s">
        <v>340</v>
      </c>
    </row>
    <row r="43">
      <c r="A43" s="33">
        <v>46142.48035157408</v>
      </c>
      <c r="B43" s="34" t="s">
        <v>47</v>
      </c>
      <c r="C43" s="17" t="s">
        <v>341</v>
      </c>
    </row>
    <row r="44">
      <c r="A44" s="33">
        <v>46142.48051060185</v>
      </c>
      <c r="B44" s="34" t="s">
        <v>47</v>
      </c>
      <c r="C44" s="17" t="s">
        <v>342</v>
      </c>
    </row>
    <row r="45">
      <c r="A45" s="33">
        <v>46142.48058087963</v>
      </c>
      <c r="B45" s="34" t="s">
        <v>47</v>
      </c>
      <c r="C45" s="17" t="s">
        <v>343</v>
      </c>
    </row>
    <row r="46">
      <c r="A46" s="33">
        <v>46142.48063409722</v>
      </c>
      <c r="B46" s="34" t="s">
        <v>47</v>
      </c>
      <c r="C46" s="17" t="s">
        <v>344</v>
      </c>
    </row>
    <row r="47">
      <c r="A47" s="33">
        <v>46142.48070835648</v>
      </c>
      <c r="B47" s="34" t="s">
        <v>47</v>
      </c>
      <c r="C47" s="17" t="s">
        <v>345</v>
      </c>
    </row>
    <row r="48">
      <c r="A48" s="33">
        <v>46142.48036407407</v>
      </c>
      <c r="B48" s="34" t="s">
        <v>47</v>
      </c>
      <c r="C48" s="17" t="s">
        <v>346</v>
      </c>
    </row>
    <row r="49">
      <c r="A49" s="33">
        <v>46142.48135636574</v>
      </c>
      <c r="B49" s="34" t="s">
        <v>47</v>
      </c>
      <c r="C49" s="17" t="s">
        <v>347</v>
      </c>
    </row>
    <row r="50">
      <c r="A50" s="33">
        <v>46142.48179943287</v>
      </c>
      <c r="B50" s="34" t="s">
        <v>47</v>
      </c>
      <c r="C50" s="17" t="s">
        <v>348</v>
      </c>
    </row>
    <row r="51">
      <c r="A51" s="33">
        <v>46142.481487997684</v>
      </c>
      <c r="B51" s="34" t="s">
        <v>47</v>
      </c>
      <c r="C51" s="17" t="s">
        <v>349</v>
      </c>
    </row>
    <row r="52">
      <c r="A52" s="33">
        <v>46142.481926458335</v>
      </c>
      <c r="B52" s="34" t="s">
        <v>47</v>
      </c>
      <c r="C52" s="17" t="s">
        <v>350</v>
      </c>
    </row>
    <row r="53">
      <c r="A53" s="33">
        <v>46142.48199901621</v>
      </c>
      <c r="B53" s="34" t="s">
        <v>54</v>
      </c>
      <c r="C53" s="17" t="s">
        <v>351</v>
      </c>
    </row>
    <row r="54">
      <c r="A54" s="33">
        <v>46142.482060925926</v>
      </c>
      <c r="B54" s="31" t="s">
        <v>43</v>
      </c>
      <c r="C54" s="17" t="s">
        <v>352</v>
      </c>
    </row>
    <row r="55">
      <c r="A55" s="33">
        <v>46142.48212355324</v>
      </c>
      <c r="B55" s="31" t="s">
        <v>43</v>
      </c>
      <c r="C55" s="17" t="s">
        <v>353</v>
      </c>
    </row>
    <row r="56">
      <c r="A56" s="33">
        <v>46142.482218599536</v>
      </c>
      <c r="B56" s="31" t="s">
        <v>43</v>
      </c>
      <c r="C56" s="17" t="s">
        <v>354</v>
      </c>
    </row>
    <row r="57">
      <c r="A57" s="33">
        <v>46142.48228810185</v>
      </c>
      <c r="B57" s="31" t="s">
        <v>43</v>
      </c>
      <c r="C57" s="17" t="s">
        <v>355</v>
      </c>
    </row>
    <row r="58">
      <c r="A58" s="33">
        <v>46142.495736192126</v>
      </c>
      <c r="B58" s="31" t="s">
        <v>43</v>
      </c>
      <c r="C58" s="17" t="s">
        <v>356</v>
      </c>
    </row>
    <row r="59">
      <c r="A59" s="33">
        <v>46142.496904618056</v>
      </c>
      <c r="B59" s="31" t="s">
        <v>43</v>
      </c>
      <c r="C59" s="17" t="s">
        <v>357</v>
      </c>
    </row>
    <row r="60">
      <c r="A60" s="33">
        <v>46142.49759078704</v>
      </c>
      <c r="B60" s="31" t="s">
        <v>43</v>
      </c>
      <c r="C60" s="17" t="s">
        <v>358</v>
      </c>
    </row>
    <row r="61">
      <c r="A61" s="33">
        <v>46142.497892858795</v>
      </c>
      <c r="B61" s="31" t="s">
        <v>43</v>
      </c>
      <c r="C61" s="17" t="s">
        <v>359</v>
      </c>
    </row>
    <row r="62">
      <c r="A62" s="33">
        <v>46142.4982312963</v>
      </c>
      <c r="B62" s="31" t="s">
        <v>54</v>
      </c>
      <c r="C62" s="17" t="s">
        <v>360</v>
      </c>
    </row>
    <row r="63">
      <c r="A63" s="33">
        <v>46142.49872462963</v>
      </c>
      <c r="B63" s="31" t="s">
        <v>43</v>
      </c>
      <c r="C63" s="17" t="s">
        <v>361</v>
      </c>
    </row>
    <row r="64">
      <c r="A64" s="33">
        <v>46142.500486770834</v>
      </c>
      <c r="B64" s="31" t="s">
        <v>43</v>
      </c>
      <c r="C64" s="17" t="s">
        <v>362</v>
      </c>
    </row>
    <row r="65">
      <c r="A65" s="33">
        <v>46142.50107861111</v>
      </c>
      <c r="B65" s="31" t="s">
        <v>43</v>
      </c>
      <c r="C65" s="17" t="s">
        <v>363</v>
      </c>
    </row>
    <row r="66">
      <c r="A66" s="33">
        <v>46142.50196978009</v>
      </c>
      <c r="B66" s="31" t="s">
        <v>43</v>
      </c>
      <c r="C66" s="17" t="s">
        <v>364</v>
      </c>
    </row>
    <row r="67">
      <c r="A67" s="33">
        <v>46142.502917245365</v>
      </c>
      <c r="B67" s="35" t="s">
        <v>45</v>
      </c>
      <c r="C67" s="17" t="s">
        <v>365</v>
      </c>
    </row>
    <row r="68">
      <c r="A68" s="33">
        <v>46142.503791759256</v>
      </c>
      <c r="B68" s="35" t="s">
        <v>45</v>
      </c>
      <c r="C68" s="17" t="s">
        <v>366</v>
      </c>
    </row>
    <row r="69">
      <c r="A69" s="33">
        <v>46142.50426263889</v>
      </c>
      <c r="B69" s="31" t="s">
        <v>43</v>
      </c>
      <c r="C69" s="17" t="s">
        <v>367</v>
      </c>
    </row>
    <row r="70">
      <c r="A70" s="33">
        <v>46142.50518111111</v>
      </c>
      <c r="B70" s="31" t="s">
        <v>43</v>
      </c>
      <c r="C70" s="17" t="s">
        <v>368</v>
      </c>
    </row>
    <row r="71">
      <c r="A71" s="33">
        <v>46142.50552853009</v>
      </c>
      <c r="B71" s="34" t="s">
        <v>47</v>
      </c>
      <c r="C71" s="17" t="s">
        <v>369</v>
      </c>
    </row>
    <row r="72">
      <c r="A72" s="33">
        <v>46142.506278483794</v>
      </c>
      <c r="B72" s="31" t="s">
        <v>43</v>
      </c>
      <c r="C72" s="17" t="s">
        <v>312</v>
      </c>
    </row>
    <row r="73">
      <c r="A73" s="33">
        <v>46142.50659200232</v>
      </c>
      <c r="B73" s="31" t="s">
        <v>43</v>
      </c>
      <c r="C73" s="17" t="s">
        <v>370</v>
      </c>
    </row>
    <row r="74">
      <c r="A74" s="33">
        <v>46142.50703923611</v>
      </c>
      <c r="B74" s="31" t="s">
        <v>43</v>
      </c>
      <c r="C74" s="17" t="s">
        <v>371</v>
      </c>
    </row>
    <row r="75">
      <c r="A75" s="33">
        <v>46142.50783560185</v>
      </c>
      <c r="B75" s="31" t="s">
        <v>43</v>
      </c>
      <c r="C75" s="17" t="s">
        <v>372</v>
      </c>
    </row>
    <row r="76">
      <c r="A76" s="33">
        <v>46142.50818665509</v>
      </c>
      <c r="B76" s="31" t="s">
        <v>43</v>
      </c>
      <c r="C76" s="17" t="s">
        <v>373</v>
      </c>
    </row>
    <row r="77">
      <c r="A77" s="33">
        <v>46142.50856181713</v>
      </c>
      <c r="B77" s="31" t="s">
        <v>43</v>
      </c>
      <c r="C77" s="17" t="s">
        <v>356</v>
      </c>
    </row>
    <row r="78">
      <c r="A78" s="33">
        <v>46142.50868594907</v>
      </c>
      <c r="B78" s="31" t="s">
        <v>43</v>
      </c>
      <c r="C78" s="17" t="s">
        <v>359</v>
      </c>
    </row>
    <row r="79">
      <c r="A79" s="33">
        <v>46142.50886739584</v>
      </c>
      <c r="B79" s="31" t="s">
        <v>54</v>
      </c>
      <c r="C79" s="17" t="s">
        <v>374</v>
      </c>
    </row>
    <row r="80">
      <c r="A80" s="33">
        <v>46142.509260520834</v>
      </c>
      <c r="B80" s="31" t="s">
        <v>43</v>
      </c>
      <c r="C80" s="17" t="s">
        <v>361</v>
      </c>
    </row>
    <row r="81">
      <c r="A81" s="33">
        <v>46142.509493391204</v>
      </c>
      <c r="B81" s="31" t="s">
        <v>43</v>
      </c>
      <c r="C81" s="17" t="s">
        <v>367</v>
      </c>
    </row>
    <row r="82">
      <c r="A82" s="33">
        <v>46142.509616111114</v>
      </c>
      <c r="B82" s="31" t="s">
        <v>43</v>
      </c>
      <c r="C82" s="17" t="s">
        <v>375</v>
      </c>
    </row>
    <row r="83">
      <c r="A83" s="33">
        <v>46142.510006365745</v>
      </c>
      <c r="B83" s="35" t="s">
        <v>45</v>
      </c>
      <c r="C83" s="17" t="s">
        <v>365</v>
      </c>
    </row>
    <row r="84">
      <c r="A84" s="33">
        <v>46142.51008740741</v>
      </c>
      <c r="B84" s="35" t="s">
        <v>45</v>
      </c>
      <c r="C84" s="17" t="s">
        <v>366</v>
      </c>
    </row>
    <row r="85">
      <c r="A85" s="33">
        <v>46142.51018460648</v>
      </c>
      <c r="B85" s="35" t="s">
        <v>52</v>
      </c>
      <c r="C85" s="17" t="s">
        <v>376</v>
      </c>
    </row>
    <row r="86">
      <c r="A86" s="33">
        <v>46142.51066586806</v>
      </c>
      <c r="B86" s="35" t="s">
        <v>52</v>
      </c>
      <c r="C86" s="17" t="s">
        <v>377</v>
      </c>
    </row>
    <row r="87">
      <c r="A87" s="37"/>
      <c r="B87" s="30"/>
      <c r="C87" s="30"/>
    </row>
    <row r="88">
      <c r="A88" s="37"/>
      <c r="B88" s="30"/>
      <c r="C88" s="30"/>
    </row>
    <row r="89">
      <c r="A89" s="36"/>
    </row>
    <row r="90">
      <c r="A90" s="36"/>
    </row>
    <row r="91">
      <c r="A91" s="36"/>
    </row>
    <row r="92">
      <c r="A92" s="36"/>
    </row>
    <row r="93">
      <c r="A93" s="36"/>
    </row>
    <row r="94">
      <c r="A94" s="36"/>
    </row>
    <row r="95">
      <c r="A95" s="36"/>
    </row>
    <row r="96">
      <c r="A96" s="36"/>
    </row>
    <row r="97">
      <c r="A97" s="36"/>
    </row>
    <row r="98">
      <c r="A98" s="36"/>
    </row>
    <row r="99">
      <c r="A99" s="36"/>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sheetData>
  <dataValidations>
    <dataValidation type="list" allowBlank="1" sqref="B18:B1001">
      <formula1>'Aris Horvat'!$K$1:$K$9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hidden="1" min="1" max="1" width="16.38"/>
    <col customWidth="1" min="2" max="2" width="22.63"/>
    <col customWidth="1" min="3" max="3" width="87.63"/>
  </cols>
  <sheetData>
    <row r="1">
      <c r="A1" s="26">
        <v>46142.52751753472</v>
      </c>
      <c r="B1" s="27" t="s">
        <v>41</v>
      </c>
      <c r="C1" s="28">
        <v>57.00411666666666</v>
      </c>
      <c r="J1" s="17" t="s">
        <v>42</v>
      </c>
      <c r="K1" s="17" t="s">
        <v>43</v>
      </c>
    </row>
    <row r="2">
      <c r="A2" s="26">
        <v>46142.527517581024</v>
      </c>
      <c r="B2" s="27" t="s">
        <v>44</v>
      </c>
      <c r="C2" s="29">
        <f> COUNTIF(B:B, "Bug")</f>
        <v>0</v>
      </c>
      <c r="K2" s="17" t="s">
        <v>45</v>
      </c>
    </row>
    <row r="3">
      <c r="A3" s="26">
        <v>46142.52751763889</v>
      </c>
      <c r="B3" s="27" t="s">
        <v>46</v>
      </c>
      <c r="C3" s="29">
        <f> COUNTIF(B:B, "Bug OffCharter")</f>
        <v>0</v>
      </c>
      <c r="K3" s="17" t="s">
        <v>47</v>
      </c>
    </row>
    <row r="4">
      <c r="A4" s="26">
        <v>46142.52751788194</v>
      </c>
      <c r="B4" s="27" t="s">
        <v>48</v>
      </c>
      <c r="C4" s="28">
        <v>56.630716666666665</v>
      </c>
      <c r="K4" s="17" t="s">
        <v>49</v>
      </c>
    </row>
    <row r="5">
      <c r="A5" s="26">
        <v>46142.527517939816</v>
      </c>
      <c r="B5" s="27" t="s">
        <v>50</v>
      </c>
      <c r="C5" s="28">
        <v>0.372</v>
      </c>
      <c r="J5" s="17" t="s">
        <v>51</v>
      </c>
      <c r="K5" s="17" t="s">
        <v>52</v>
      </c>
    </row>
    <row r="6">
      <c r="A6" s="26">
        <v>46142.52751800926</v>
      </c>
      <c r="B6" s="27" t="s">
        <v>53</v>
      </c>
      <c r="C6" s="28">
        <v>0.0</v>
      </c>
      <c r="J6" s="30"/>
      <c r="K6" s="17" t="s">
        <v>54</v>
      </c>
    </row>
    <row r="7">
      <c r="A7" s="26">
        <v>46142.527518055555</v>
      </c>
      <c r="B7" s="27" t="s">
        <v>55</v>
      </c>
      <c r="C7" s="28">
        <v>0.0</v>
      </c>
      <c r="K7" s="17" t="s">
        <v>56</v>
      </c>
    </row>
    <row r="8">
      <c r="A8" s="26">
        <v>46142.52751810185</v>
      </c>
      <c r="B8" s="27" t="s">
        <v>57</v>
      </c>
      <c r="C8" s="29">
        <f> COUNTIF(B:B, "Question")</f>
        <v>0</v>
      </c>
      <c r="K8" s="17" t="s">
        <v>58</v>
      </c>
    </row>
    <row r="9">
      <c r="A9" s="26">
        <v>46142.527518159724</v>
      </c>
      <c r="B9" s="27" t="s">
        <v>59</v>
      </c>
      <c r="C9" s="29">
        <f> COUNTIF(B:B, "NextTime")</f>
        <v>0</v>
      </c>
      <c r="K9" s="17" t="s">
        <v>60</v>
      </c>
    </row>
    <row r="10">
      <c r="A10" s="26">
        <v>46142.527518194445</v>
      </c>
      <c r="B10" s="17" t="s">
        <v>61</v>
      </c>
      <c r="C10" s="17" t="s">
        <v>40</v>
      </c>
    </row>
    <row r="11">
      <c r="A11" s="26">
        <v>46142.527518229166</v>
      </c>
      <c r="B11" s="17" t="s">
        <v>62</v>
      </c>
      <c r="C11" s="17" t="s">
        <v>39</v>
      </c>
    </row>
    <row r="12">
      <c r="A12" s="26">
        <v>46142.52751826389</v>
      </c>
      <c r="B12" s="17" t="s">
        <v>63</v>
      </c>
      <c r="C12" s="17">
        <v>60.0</v>
      </c>
    </row>
    <row r="13">
      <c r="A13" s="26">
        <v>46142.527518310184</v>
      </c>
      <c r="B13" s="17" t="s">
        <v>64</v>
      </c>
      <c r="C13" s="17" t="s">
        <v>378</v>
      </c>
    </row>
    <row r="14">
      <c r="A14" s="26">
        <v>46142.52751835648</v>
      </c>
      <c r="B14" s="17" t="s">
        <v>18</v>
      </c>
      <c r="C14" s="30"/>
    </row>
    <row r="15">
      <c r="A15" s="26">
        <v>46142.52751840278</v>
      </c>
      <c r="B15" s="17" t="s">
        <v>66</v>
      </c>
      <c r="C15" s="31" t="s">
        <v>43</v>
      </c>
    </row>
    <row r="16">
      <c r="A16" s="26">
        <v>46142.5275184375</v>
      </c>
      <c r="B16" s="17" t="s">
        <v>67</v>
      </c>
      <c r="C16" s="15">
        <v>2.995883333333339</v>
      </c>
    </row>
    <row r="17">
      <c r="A17" s="26">
        <v>46142.52751847223</v>
      </c>
      <c r="B17" s="17" t="s">
        <v>68</v>
      </c>
      <c r="C17" s="32" t="s">
        <v>69</v>
      </c>
    </row>
    <row r="18">
      <c r="A18" s="33">
        <v>46142.52751850695</v>
      </c>
      <c r="B18" s="31" t="s">
        <v>52</v>
      </c>
      <c r="C18" s="17" t="s">
        <v>379</v>
      </c>
      <c r="D18" s="30"/>
    </row>
    <row r="19">
      <c r="A19" s="33">
        <v>46142.52838508102</v>
      </c>
      <c r="B19" s="34" t="s">
        <v>47</v>
      </c>
      <c r="C19" s="17" t="s">
        <v>70</v>
      </c>
    </row>
    <row r="20">
      <c r="A20" s="33">
        <v>46142.52851172454</v>
      </c>
      <c r="B20" s="34" t="s">
        <v>47</v>
      </c>
      <c r="C20" s="17" t="s">
        <v>321</v>
      </c>
    </row>
    <row r="21">
      <c r="A21" s="33">
        <v>46142.52864341435</v>
      </c>
      <c r="B21" s="31" t="s">
        <v>52</v>
      </c>
      <c r="C21" s="17" t="s">
        <v>380</v>
      </c>
    </row>
    <row r="22">
      <c r="A22" s="33">
        <v>46142.52930177083</v>
      </c>
      <c r="B22" s="31" t="s">
        <v>52</v>
      </c>
      <c r="C22" s="17" t="s">
        <v>381</v>
      </c>
    </row>
    <row r="23">
      <c r="A23" s="33">
        <v>46142.529929791664</v>
      </c>
      <c r="B23" s="31" t="s">
        <v>52</v>
      </c>
      <c r="C23" s="17" t="s">
        <v>382</v>
      </c>
    </row>
    <row r="24">
      <c r="A24" s="33">
        <v>46142.53041695602</v>
      </c>
      <c r="B24" s="31" t="s">
        <v>43</v>
      </c>
      <c r="C24" s="17" t="s">
        <v>383</v>
      </c>
    </row>
    <row r="25">
      <c r="A25" s="33">
        <v>46142.53072645833</v>
      </c>
      <c r="B25" s="31" t="s">
        <v>43</v>
      </c>
      <c r="C25" s="17" t="s">
        <v>384</v>
      </c>
    </row>
    <row r="26">
      <c r="A26" s="33">
        <v>46142.5310847338</v>
      </c>
      <c r="B26" s="31" t="s">
        <v>43</v>
      </c>
      <c r="C26" s="17" t="s">
        <v>385</v>
      </c>
    </row>
    <row r="27">
      <c r="A27" s="33">
        <v>46142.53138922453</v>
      </c>
      <c r="B27" s="31" t="s">
        <v>52</v>
      </c>
      <c r="C27" s="17" t="s">
        <v>386</v>
      </c>
    </row>
    <row r="28">
      <c r="A28" s="33">
        <v>46142.53176435185</v>
      </c>
      <c r="B28" s="31" t="s">
        <v>52</v>
      </c>
      <c r="C28" s="17" t="s">
        <v>387</v>
      </c>
    </row>
    <row r="29">
      <c r="A29" s="33">
        <v>46142.53284280092</v>
      </c>
      <c r="B29" s="31" t="s">
        <v>52</v>
      </c>
      <c r="C29" s="17" t="s">
        <v>388</v>
      </c>
    </row>
    <row r="30">
      <c r="A30" s="33">
        <v>46142.533485162036</v>
      </c>
      <c r="B30" s="31" t="s">
        <v>43</v>
      </c>
      <c r="C30" s="17" t="s">
        <v>389</v>
      </c>
    </row>
    <row r="31">
      <c r="A31" s="33">
        <v>46142.53392450231</v>
      </c>
      <c r="B31" s="31" t="s">
        <v>52</v>
      </c>
      <c r="C31" s="17" t="s">
        <v>390</v>
      </c>
    </row>
    <row r="32">
      <c r="A32" s="33">
        <v>46142.53844762732</v>
      </c>
      <c r="B32" s="31" t="s">
        <v>52</v>
      </c>
      <c r="C32" s="17" t="s">
        <v>391</v>
      </c>
    </row>
    <row r="33">
      <c r="A33" s="33">
        <v>46142.53427355324</v>
      </c>
      <c r="B33" s="31" t="s">
        <v>52</v>
      </c>
      <c r="C33" s="17" t="s">
        <v>392</v>
      </c>
    </row>
    <row r="34">
      <c r="A34" s="33">
        <v>46142.53471663194</v>
      </c>
      <c r="B34" s="31" t="s">
        <v>52</v>
      </c>
      <c r="C34" s="17" t="s">
        <v>393</v>
      </c>
    </row>
    <row r="35">
      <c r="A35" s="33">
        <v>46142.53500487268</v>
      </c>
      <c r="B35" s="31" t="s">
        <v>43</v>
      </c>
      <c r="C35" s="17" t="s">
        <v>394</v>
      </c>
    </row>
    <row r="36">
      <c r="A36" s="33">
        <v>46142.53834759259</v>
      </c>
      <c r="B36" s="31" t="s">
        <v>52</v>
      </c>
      <c r="C36" s="17" t="s">
        <v>395</v>
      </c>
    </row>
    <row r="37">
      <c r="A37" s="33">
        <v>46142.535533842594</v>
      </c>
      <c r="B37" s="31" t="s">
        <v>52</v>
      </c>
      <c r="C37" s="17" t="s">
        <v>396</v>
      </c>
    </row>
    <row r="38">
      <c r="A38" s="33">
        <v>46142.535829201384</v>
      </c>
      <c r="B38" s="31" t="s">
        <v>52</v>
      </c>
      <c r="C38" s="17" t="s">
        <v>397</v>
      </c>
    </row>
    <row r="39">
      <c r="A39" s="33">
        <v>46142.53657039352</v>
      </c>
      <c r="B39" s="31" t="s">
        <v>43</v>
      </c>
      <c r="C39" s="17" t="s">
        <v>398</v>
      </c>
    </row>
    <row r="40">
      <c r="A40" s="33">
        <v>46142.538062569445</v>
      </c>
      <c r="B40" s="31" t="s">
        <v>52</v>
      </c>
      <c r="C40" s="17" t="s">
        <v>399</v>
      </c>
    </row>
    <row r="41">
      <c r="A41" s="33">
        <v>46142.53910368055</v>
      </c>
      <c r="B41" s="31" t="s">
        <v>52</v>
      </c>
      <c r="C41" s="17" t="s">
        <v>400</v>
      </c>
    </row>
    <row r="42">
      <c r="A42" s="33">
        <v>46142.540599687505</v>
      </c>
      <c r="B42" s="31" t="s">
        <v>52</v>
      </c>
      <c r="C42" s="17" t="s">
        <v>401</v>
      </c>
    </row>
    <row r="43">
      <c r="A43" s="33">
        <v>46142.53935337963</v>
      </c>
      <c r="B43" s="31" t="s">
        <v>52</v>
      </c>
      <c r="C43" s="17" t="s">
        <v>402</v>
      </c>
    </row>
    <row r="44">
      <c r="A44" s="33">
        <v>46142.53965885416</v>
      </c>
      <c r="B44" s="31" t="s">
        <v>52</v>
      </c>
      <c r="C44" s="17" t="s">
        <v>403</v>
      </c>
    </row>
    <row r="45">
      <c r="A45" s="33">
        <v>46142.54008690972</v>
      </c>
      <c r="B45" s="31" t="s">
        <v>52</v>
      </c>
      <c r="C45" s="17" t="s">
        <v>404</v>
      </c>
    </row>
    <row r="46">
      <c r="A46" s="33">
        <v>46142.54038097222</v>
      </c>
      <c r="B46" s="31" t="s">
        <v>52</v>
      </c>
      <c r="C46" s="17" t="s">
        <v>405</v>
      </c>
    </row>
    <row r="47">
      <c r="A47" s="33">
        <v>46142.54162076389</v>
      </c>
      <c r="B47" s="31" t="s">
        <v>43</v>
      </c>
      <c r="C47" s="17" t="s">
        <v>406</v>
      </c>
    </row>
    <row r="48">
      <c r="A48" s="33">
        <v>46142.54255460648</v>
      </c>
      <c r="B48" s="31" t="s">
        <v>43</v>
      </c>
      <c r="C48" s="17" t="s">
        <v>407</v>
      </c>
    </row>
    <row r="49">
      <c r="A49" s="33">
        <v>46142.54316590278</v>
      </c>
      <c r="B49" s="31" t="s">
        <v>52</v>
      </c>
      <c r="C49" s="17" t="s">
        <v>408</v>
      </c>
    </row>
    <row r="50">
      <c r="A50" s="33">
        <v>46142.54347266204</v>
      </c>
      <c r="B50" s="31" t="s">
        <v>52</v>
      </c>
      <c r="C50" s="17" t="s">
        <v>409</v>
      </c>
    </row>
    <row r="51">
      <c r="A51" s="33">
        <v>46142.54391247685</v>
      </c>
      <c r="B51" s="31" t="s">
        <v>52</v>
      </c>
      <c r="C51" s="17" t="s">
        <v>410</v>
      </c>
    </row>
    <row r="52">
      <c r="A52" s="33">
        <v>46142.544138125</v>
      </c>
      <c r="B52" s="31" t="s">
        <v>43</v>
      </c>
      <c r="C52" s="17" t="s">
        <v>411</v>
      </c>
    </row>
    <row r="53">
      <c r="A53" s="33">
        <v>46142.54436068287</v>
      </c>
      <c r="B53" s="31" t="s">
        <v>52</v>
      </c>
      <c r="C53" s="17" t="s">
        <v>412</v>
      </c>
    </row>
    <row r="54">
      <c r="A54" s="33">
        <v>46142.544977743055</v>
      </c>
      <c r="B54" s="31" t="s">
        <v>52</v>
      </c>
      <c r="C54" s="17" t="s">
        <v>413</v>
      </c>
    </row>
    <row r="55">
      <c r="A55" s="33">
        <v>46142.545251828706</v>
      </c>
      <c r="B55" s="31" t="s">
        <v>52</v>
      </c>
      <c r="C55" s="17" t="s">
        <v>414</v>
      </c>
    </row>
    <row r="56">
      <c r="A56" s="33">
        <v>46142.54538048611</v>
      </c>
      <c r="B56" s="31" t="s">
        <v>52</v>
      </c>
      <c r="C56" s="17" t="s">
        <v>415</v>
      </c>
    </row>
    <row r="57">
      <c r="A57" s="33">
        <v>46142.54612730324</v>
      </c>
      <c r="B57" s="31" t="s">
        <v>52</v>
      </c>
      <c r="C57" s="17" t="s">
        <v>416</v>
      </c>
    </row>
    <row r="58">
      <c r="A58" s="33">
        <v>46142.54656498843</v>
      </c>
      <c r="B58" s="31" t="s">
        <v>52</v>
      </c>
      <c r="C58" s="17" t="s">
        <v>417</v>
      </c>
    </row>
    <row r="59">
      <c r="A59" s="33">
        <v>46142.54713313657</v>
      </c>
      <c r="B59" s="31" t="s">
        <v>52</v>
      </c>
      <c r="C59" s="17" t="s">
        <v>418</v>
      </c>
    </row>
    <row r="60">
      <c r="A60" s="33">
        <v>46142.5471762963</v>
      </c>
      <c r="B60" s="31" t="s">
        <v>43</v>
      </c>
      <c r="C60" s="17" t="s">
        <v>419</v>
      </c>
    </row>
    <row r="61">
      <c r="A61" s="33">
        <v>46142.54802645833</v>
      </c>
      <c r="B61" s="31" t="s">
        <v>52</v>
      </c>
      <c r="C61" s="17" t="s">
        <v>420</v>
      </c>
    </row>
    <row r="62">
      <c r="A62" s="33">
        <v>46142.54913974537</v>
      </c>
      <c r="B62" s="31" t="s">
        <v>43</v>
      </c>
      <c r="C62" s="17" t="s">
        <v>421</v>
      </c>
    </row>
    <row r="63">
      <c r="A63" s="33">
        <v>46142.5496709375</v>
      </c>
      <c r="B63" s="31" t="s">
        <v>52</v>
      </c>
      <c r="C63" s="17" t="s">
        <v>422</v>
      </c>
    </row>
    <row r="64">
      <c r="A64" s="33">
        <v>46142.54982424769</v>
      </c>
      <c r="B64" s="31" t="s">
        <v>43</v>
      </c>
      <c r="C64" s="17" t="s">
        <v>423</v>
      </c>
    </row>
    <row r="65">
      <c r="A65" s="33">
        <v>46142.55039157407</v>
      </c>
      <c r="B65" s="31" t="s">
        <v>52</v>
      </c>
      <c r="C65" s="17" t="s">
        <v>424</v>
      </c>
    </row>
    <row r="66">
      <c r="A66" s="33">
        <v>46142.550924525465</v>
      </c>
      <c r="B66" s="31" t="s">
        <v>52</v>
      </c>
      <c r="C66" s="17" t="s">
        <v>425</v>
      </c>
    </row>
    <row r="67">
      <c r="A67" s="33">
        <v>46142.55116945602</v>
      </c>
      <c r="B67" s="31" t="s">
        <v>52</v>
      </c>
      <c r="C67" s="17" t="s">
        <v>426</v>
      </c>
    </row>
    <row r="68">
      <c r="A68" s="33">
        <v>46142.551571585645</v>
      </c>
      <c r="B68" s="31" t="s">
        <v>43</v>
      </c>
      <c r="C68" s="17" t="s">
        <v>427</v>
      </c>
    </row>
    <row r="69">
      <c r="A69" s="33">
        <v>46142.55190384259</v>
      </c>
      <c r="B69" s="31" t="s">
        <v>52</v>
      </c>
      <c r="C69" s="17" t="s">
        <v>428</v>
      </c>
    </row>
    <row r="70">
      <c r="A70" s="33">
        <v>46142.55198266204</v>
      </c>
      <c r="B70" s="31" t="s">
        <v>52</v>
      </c>
      <c r="C70" s="17" t="s">
        <v>429</v>
      </c>
    </row>
    <row r="71">
      <c r="A71" s="33">
        <v>46142.55234732639</v>
      </c>
      <c r="B71" s="31" t="s">
        <v>52</v>
      </c>
      <c r="C71" s="17" t="s">
        <v>430</v>
      </c>
    </row>
    <row r="72">
      <c r="A72" s="33">
        <v>46142.55271952546</v>
      </c>
      <c r="B72" s="31" t="s">
        <v>43</v>
      </c>
      <c r="C72" s="17" t="s">
        <v>431</v>
      </c>
    </row>
    <row r="73">
      <c r="A73" s="33">
        <v>46142.55291136574</v>
      </c>
      <c r="B73" s="31" t="s">
        <v>52</v>
      </c>
      <c r="C73" s="17" t="s">
        <v>432</v>
      </c>
    </row>
    <row r="74">
      <c r="A74" s="33">
        <v>46142.553503449075</v>
      </c>
      <c r="B74" s="31" t="s">
        <v>52</v>
      </c>
      <c r="C74" s="17" t="s">
        <v>433</v>
      </c>
    </row>
    <row r="75">
      <c r="A75" s="33">
        <v>46142.55356537037</v>
      </c>
      <c r="B75" s="31" t="s">
        <v>52</v>
      </c>
      <c r="C75" s="17" t="s">
        <v>434</v>
      </c>
    </row>
    <row r="76">
      <c r="A76" s="33">
        <v>46142.55411738426</v>
      </c>
      <c r="B76" s="31" t="s">
        <v>43</v>
      </c>
      <c r="C76" s="17" t="s">
        <v>435</v>
      </c>
    </row>
    <row r="77">
      <c r="A77" s="33">
        <v>46142.554582372686</v>
      </c>
      <c r="B77" s="31" t="s">
        <v>52</v>
      </c>
      <c r="C77" s="17" t="s">
        <v>436</v>
      </c>
    </row>
    <row r="78">
      <c r="A78" s="33">
        <v>46142.55507908565</v>
      </c>
      <c r="B78" s="31" t="s">
        <v>52</v>
      </c>
      <c r="C78" s="17" t="s">
        <v>437</v>
      </c>
    </row>
    <row r="79">
      <c r="A79" s="33">
        <v>46142.55535555555</v>
      </c>
      <c r="B79" s="31" t="s">
        <v>43</v>
      </c>
      <c r="C79" s="17" t="s">
        <v>438</v>
      </c>
    </row>
    <row r="80">
      <c r="A80" s="33">
        <v>46142.555942280094</v>
      </c>
      <c r="B80" s="31" t="s">
        <v>52</v>
      </c>
      <c r="C80" s="17" t="s">
        <v>439</v>
      </c>
    </row>
    <row r="81">
      <c r="A81" s="33">
        <v>46142.55611701389</v>
      </c>
      <c r="B81" s="31" t="s">
        <v>52</v>
      </c>
      <c r="C81" s="17" t="s">
        <v>440</v>
      </c>
    </row>
    <row r="82">
      <c r="A82" s="33">
        <v>46142.55686886574</v>
      </c>
      <c r="B82" s="31" t="s">
        <v>52</v>
      </c>
      <c r="C82" s="17" t="s">
        <v>441</v>
      </c>
    </row>
    <row r="83">
      <c r="A83" s="33">
        <v>46142.557249432866</v>
      </c>
      <c r="B83" s="31" t="s">
        <v>52</v>
      </c>
      <c r="C83" s="17" t="s">
        <v>442</v>
      </c>
    </row>
    <row r="84">
      <c r="A84" s="33">
        <v>46142.55761178241</v>
      </c>
      <c r="B84" s="31" t="s">
        <v>52</v>
      </c>
      <c r="C84" s="17" t="s">
        <v>443</v>
      </c>
    </row>
    <row r="85">
      <c r="A85" s="33">
        <v>46142.55849027778</v>
      </c>
      <c r="B85" s="31" t="s">
        <v>52</v>
      </c>
      <c r="C85" s="17" t="s">
        <v>444</v>
      </c>
    </row>
    <row r="86">
      <c r="A86" s="33">
        <v>46142.558973217594</v>
      </c>
      <c r="B86" s="31" t="s">
        <v>52</v>
      </c>
      <c r="C86" s="17" t="s">
        <v>445</v>
      </c>
    </row>
    <row r="87">
      <c r="A87" s="33">
        <v>46142.55916365741</v>
      </c>
      <c r="B87" s="31" t="s">
        <v>52</v>
      </c>
      <c r="C87" s="17" t="s">
        <v>446</v>
      </c>
    </row>
    <row r="88">
      <c r="A88" s="33">
        <v>46142.55935989584</v>
      </c>
      <c r="B88" s="31" t="s">
        <v>52</v>
      </c>
      <c r="C88" s="17" t="s">
        <v>447</v>
      </c>
    </row>
    <row r="89">
      <c r="A89" s="33">
        <v>46142.559885173614</v>
      </c>
      <c r="B89" s="31" t="s">
        <v>52</v>
      </c>
      <c r="C89" s="17" t="s">
        <v>448</v>
      </c>
    </row>
    <row r="90">
      <c r="A90" s="33">
        <v>46142.56018648148</v>
      </c>
      <c r="B90" s="31" t="s">
        <v>43</v>
      </c>
      <c r="C90" s="17" t="s">
        <v>449</v>
      </c>
    </row>
    <row r="91">
      <c r="A91" s="33">
        <v>46142.56065442129</v>
      </c>
      <c r="B91" s="31" t="s">
        <v>52</v>
      </c>
      <c r="C91" s="17" t="s">
        <v>450</v>
      </c>
    </row>
    <row r="92">
      <c r="A92" s="33">
        <v>46142.56083268518</v>
      </c>
      <c r="B92" s="31" t="s">
        <v>52</v>
      </c>
      <c r="C92" s="17" t="s">
        <v>451</v>
      </c>
    </row>
    <row r="93">
      <c r="A93" s="33">
        <v>46142.56109192129</v>
      </c>
      <c r="B93" s="31" t="s">
        <v>52</v>
      </c>
      <c r="C93" s="17" t="s">
        <v>452</v>
      </c>
    </row>
    <row r="94">
      <c r="A94" s="33">
        <v>46142.562499837964</v>
      </c>
      <c r="B94" s="31" t="s">
        <v>52</v>
      </c>
      <c r="C94" s="17" t="s">
        <v>453</v>
      </c>
    </row>
    <row r="95">
      <c r="A95" s="33">
        <v>46142.56252412037</v>
      </c>
      <c r="B95" s="31" t="s">
        <v>52</v>
      </c>
      <c r="C95" s="17" t="s">
        <v>454</v>
      </c>
    </row>
    <row r="96">
      <c r="A96" s="33">
        <v>46142.562940648146</v>
      </c>
      <c r="B96" s="31" t="s">
        <v>52</v>
      </c>
      <c r="C96" s="17" t="s">
        <v>455</v>
      </c>
    </row>
    <row r="97">
      <c r="A97" s="33">
        <v>46142.56323655092</v>
      </c>
      <c r="B97" s="31" t="s">
        <v>52</v>
      </c>
      <c r="C97" s="17" t="s">
        <v>456</v>
      </c>
    </row>
    <row r="98">
      <c r="A98" s="33">
        <v>46142.56408960648</v>
      </c>
      <c r="B98" s="31" t="s">
        <v>52</v>
      </c>
      <c r="C98" s="17" t="s">
        <v>457</v>
      </c>
    </row>
    <row r="99">
      <c r="A99" s="33">
        <v>46142.56455616898</v>
      </c>
      <c r="B99" s="31" t="s">
        <v>52</v>
      </c>
      <c r="C99" s="17" t="s">
        <v>458</v>
      </c>
    </row>
    <row r="100">
      <c r="A100" s="33">
        <v>46142.56457545139</v>
      </c>
      <c r="B100" s="31" t="s">
        <v>52</v>
      </c>
      <c r="C100" s="17" t="s">
        <v>459</v>
      </c>
    </row>
    <row r="101">
      <c r="A101" s="33">
        <v>46142.56600789352</v>
      </c>
      <c r="B101" s="31" t="s">
        <v>43</v>
      </c>
      <c r="C101" s="17" t="s">
        <v>460</v>
      </c>
    </row>
    <row r="102">
      <c r="A102" s="33">
        <v>46142.56666258102</v>
      </c>
      <c r="B102" s="31" t="s">
        <v>52</v>
      </c>
      <c r="C102" s="17" t="s">
        <v>461</v>
      </c>
    </row>
    <row r="103">
      <c r="A103" s="33">
        <v>46142.56710372685</v>
      </c>
      <c r="B103" s="31" t="s">
        <v>52</v>
      </c>
      <c r="C103" s="17" t="s">
        <v>462</v>
      </c>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row r="1002">
      <c r="A1002" s="36"/>
    </row>
    <row r="1003">
      <c r="A1003" s="36"/>
    </row>
    <row r="1004">
      <c r="A1004" s="36"/>
    </row>
  </sheetData>
  <dataValidations>
    <dataValidation type="list" allowBlank="1" sqref="B18:B1004">
      <formula1>'Patricia Manciu'!$K$1:$K$9</formula1>
    </dataValidation>
  </dataValidations>
  <drawing r:id="rId1"/>
</worksheet>
</file>